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142a7899cd6ef7/Documents/00_Personal/"/>
    </mc:Choice>
  </mc:AlternateContent>
  <xr:revisionPtr revIDLastSave="2246" documentId="8_{747C6861-C6C5-4034-973C-ABF610065421}" xr6:coauthVersionLast="47" xr6:coauthVersionMax="47" xr10:uidLastSave="{62EB11A7-4DE8-44F3-82F0-70E9D485CB03}"/>
  <bookViews>
    <workbookView xWindow="-110" yWindow="-110" windowWidth="19420" windowHeight="11500" activeTab="1" xr2:uid="{8FCEC23F-77E1-44EC-89DE-C2B4EA755770}"/>
  </bookViews>
  <sheets>
    <sheet name="CFB Pool '25" sheetId="1" r:id="rId1"/>
    <sheet name="Most Popular Picks" sheetId="2" r:id="rId2"/>
    <sheet name="CFB Pool '26" sheetId="3" r:id="rId3"/>
  </sheets>
  <definedNames>
    <definedName name="_xlnm._FilterDatabase" localSheetId="0" hidden="1">'CFB Pool ''25'!$A$40:$B$73</definedName>
    <definedName name="_xlnm._FilterDatabase" localSheetId="2" hidden="1">'CFB Pool ''26'!$A$40:$B$73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3" l="1" a="1"/>
  <c r="AJ28" i="3" a="1"/>
  <c r="AI28" i="3" a="1"/>
  <c r="AH28" i="3" a="1"/>
  <c r="AG28" i="3" a="1"/>
  <c r="AF28" i="3" a="1"/>
  <c r="AE28" i="3" a="1"/>
  <c r="AD28" i="3" a="1"/>
  <c r="AC28" i="3" a="1"/>
  <c r="AB28" i="3" a="1"/>
  <c r="AA28" i="3" a="1"/>
  <c r="Z28" i="3" a="1"/>
  <c r="Y28" i="3" a="1"/>
  <c r="X28" i="3" a="1"/>
  <c r="W28" i="3" a="1"/>
  <c r="V28" i="3" a="1"/>
  <c r="U28" i="3" a="1"/>
  <c r="T28" i="3" a="1"/>
  <c r="S28" i="3" a="1"/>
  <c r="R28" i="3" a="1"/>
  <c r="Q28" i="3" a="1"/>
  <c r="P28" i="3" a="1"/>
  <c r="O28" i="3" a="1"/>
  <c r="N28" i="3" a="1"/>
  <c r="M28" i="3" a="1"/>
  <c r="L28" i="3" a="1"/>
  <c r="K28" i="3" a="1"/>
  <c r="J28" i="3" a="1"/>
  <c r="I28" i="3" a="1"/>
  <c r="H28" i="3" a="1"/>
  <c r="G28" i="3" a="1"/>
  <c r="F28" i="3" a="1"/>
  <c r="E28" i="3" a="1"/>
  <c r="D28" i="3" a="1"/>
  <c r="AJ27" i="3" a="1"/>
  <c r="AJ30" i="3" s="1"/>
  <c r="AI27" i="3" a="1"/>
  <c r="AI30" i="3" s="1"/>
  <c r="AH27" i="3" a="1"/>
  <c r="AH30" i="3" s="1"/>
  <c r="AG27" i="3" a="1"/>
  <c r="AG30" i="3" s="1"/>
  <c r="AF27" i="3" a="1"/>
  <c r="AF30" i="3" s="1"/>
  <c r="AE27" i="3" a="1"/>
  <c r="AE30" i="3" s="1"/>
  <c r="AD27" i="3" a="1"/>
  <c r="AD30" i="3" s="1"/>
  <c r="AC27" i="3" a="1"/>
  <c r="AC30" i="3" s="1"/>
  <c r="AB27" i="3" a="1"/>
  <c r="AB30" i="3" s="1"/>
  <c r="AA27" i="3" a="1"/>
  <c r="AA30" i="3" s="1"/>
  <c r="Z27" i="3" a="1"/>
  <c r="Z30" i="3" s="1"/>
  <c r="Y27" i="3" a="1"/>
  <c r="Y30" i="3" s="1"/>
  <c r="X27" i="3" a="1"/>
  <c r="X30" i="3" s="1"/>
  <c r="W27" i="3" a="1"/>
  <c r="W30" i="3" s="1"/>
  <c r="V27" i="3" a="1"/>
  <c r="V30" i="3" s="1"/>
  <c r="U27" i="3" a="1"/>
  <c r="U30" i="3" s="1"/>
  <c r="T27" i="3" a="1"/>
  <c r="T30" i="3" s="1"/>
  <c r="S27" i="3" a="1"/>
  <c r="S30" i="3" s="1"/>
  <c r="R27" i="3" a="1"/>
  <c r="R30" i="3" s="1"/>
  <c r="Q27" i="3" a="1"/>
  <c r="Q30" i="3" s="1"/>
  <c r="P27" i="3" a="1"/>
  <c r="P30" i="3" s="1"/>
  <c r="O27" i="3" a="1"/>
  <c r="O30" i="3" s="1"/>
  <c r="N27" i="3" a="1"/>
  <c r="N30" i="3" s="1"/>
  <c r="M27" i="3" a="1"/>
  <c r="M30" i="3" s="1"/>
  <c r="L27" i="3" a="1"/>
  <c r="L30" i="3" s="1"/>
  <c r="K27" i="3" a="1"/>
  <c r="K30" i="3" s="1"/>
  <c r="J27" i="3" a="1"/>
  <c r="J30" i="3" s="1"/>
  <c r="I27" i="3" a="1"/>
  <c r="I30" i="3" s="1"/>
  <c r="H27" i="3" a="1"/>
  <c r="H30" i="3" s="1"/>
  <c r="G27" i="3" a="1"/>
  <c r="F27" i="3" a="1"/>
  <c r="F30" i="3" s="1"/>
  <c r="E27" i="3" a="1"/>
  <c r="D27" i="3" a="1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3" i="3"/>
  <c r="C4" i="3" s="1"/>
  <c r="C2" i="3"/>
  <c r="O31" i="2"/>
  <c r="O32" i="2"/>
  <c r="O33" i="2"/>
  <c r="O34" i="2"/>
  <c r="O35" i="2"/>
  <c r="O37" i="2"/>
  <c r="O38" i="2"/>
  <c r="O39" i="2"/>
  <c r="O40" i="2"/>
  <c r="O41" i="2"/>
  <c r="O43" i="2"/>
  <c r="O44" i="2"/>
  <c r="O45" i="2"/>
  <c r="O46" i="2"/>
  <c r="O47" i="2"/>
  <c r="O48" i="2"/>
  <c r="O49" i="2"/>
  <c r="O51" i="2"/>
  <c r="O30" i="2"/>
  <c r="O29" i="2"/>
  <c r="O28" i="2"/>
  <c r="O26" i="2"/>
  <c r="O25" i="2"/>
  <c r="O24" i="2"/>
  <c r="O23" i="2"/>
  <c r="O22" i="2"/>
  <c r="O21" i="2"/>
  <c r="O20" i="2"/>
  <c r="O9" i="2"/>
  <c r="O10" i="2"/>
  <c r="O11" i="2"/>
  <c r="O12" i="2"/>
  <c r="O13" i="2"/>
  <c r="O14" i="2"/>
  <c r="O15" i="2"/>
  <c r="O16" i="2"/>
  <c r="O17" i="2"/>
  <c r="O18" i="2"/>
  <c r="O8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" i="2"/>
  <c r="E30" i="3" l="1"/>
  <c r="G30" i="3"/>
  <c r="AL28" i="3"/>
  <c r="AM28" i="3" s="1"/>
  <c r="AP28" i="3"/>
  <c r="D30" i="3"/>
  <c r="B41" i="3" s="1" a="1"/>
  <c r="E38" i="3" s="1" a="1"/>
  <c r="AL27" i="3"/>
  <c r="AM27" i="3" s="1"/>
  <c r="AP27" i="3"/>
  <c r="A41" i="1" a="1"/>
  <c r="E28" i="1" a="1"/>
  <c r="F28" i="1" a="1"/>
  <c r="G28" i="1" a="1"/>
  <c r="H28" i="1" a="1"/>
  <c r="I28" i="1" a="1"/>
  <c r="J28" i="1" a="1"/>
  <c r="K28" i="1" a="1"/>
  <c r="L28" i="1" a="1"/>
  <c r="M28" i="1" a="1"/>
  <c r="N28" i="1" a="1"/>
  <c r="O28" i="1" a="1"/>
  <c r="P28" i="1" a="1"/>
  <c r="Q28" i="1" a="1"/>
  <c r="R28" i="1" a="1"/>
  <c r="S28" i="1" a="1"/>
  <c r="T28" i="1" a="1"/>
  <c r="U28" i="1" a="1"/>
  <c r="V28" i="1" a="1"/>
  <c r="W28" i="1" a="1"/>
  <c r="X28" i="1" a="1"/>
  <c r="Y28" i="1" a="1"/>
  <c r="Z28" i="1" a="1"/>
  <c r="AA28" i="1" a="1"/>
  <c r="AB28" i="1" a="1"/>
  <c r="AC28" i="1" a="1"/>
  <c r="AD28" i="1" a="1"/>
  <c r="AE28" i="1" a="1"/>
  <c r="AF28" i="1" a="1"/>
  <c r="AG28" i="1" a="1"/>
  <c r="AH28" i="1" a="1"/>
  <c r="AI28" i="1" a="1"/>
  <c r="AJ28" i="1" a="1"/>
  <c r="D28" i="1" a="1"/>
  <c r="E27" i="1" a="1"/>
  <c r="F27" i="1" a="1"/>
  <c r="G27" i="1" a="1"/>
  <c r="H27" i="1" a="1"/>
  <c r="I27" i="1" a="1"/>
  <c r="J27" i="1" a="1"/>
  <c r="K27" i="1" a="1"/>
  <c r="L27" i="1" a="1"/>
  <c r="M27" i="1" a="1"/>
  <c r="N27" i="1" a="1"/>
  <c r="O27" i="1" a="1"/>
  <c r="P27" i="1" a="1"/>
  <c r="Q27" i="1" a="1"/>
  <c r="R27" i="1" a="1"/>
  <c r="S27" i="1" a="1"/>
  <c r="T27" i="1" a="1"/>
  <c r="U27" i="1" a="1"/>
  <c r="V27" i="1" a="1"/>
  <c r="W27" i="1" a="1"/>
  <c r="X27" i="1" a="1"/>
  <c r="Y27" i="1" a="1"/>
  <c r="Z27" i="1" a="1"/>
  <c r="AA27" i="1" a="1"/>
  <c r="AB27" i="1" a="1"/>
  <c r="AC27" i="1" a="1"/>
  <c r="AD27" i="1" a="1"/>
  <c r="AE27" i="1" a="1"/>
  <c r="AF27" i="1" a="1"/>
  <c r="AG27" i="1" a="1"/>
  <c r="AH27" i="1" a="1"/>
  <c r="AI27" i="1" a="1"/>
  <c r="AJ27" i="1" a="1"/>
  <c r="D27" i="1" a="1"/>
  <c r="I25" i="1"/>
  <c r="E25" i="1"/>
  <c r="F25" i="1"/>
  <c r="G25" i="1"/>
  <c r="H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D25" i="1"/>
  <c r="C2" i="1"/>
  <c r="C3" i="1"/>
  <c r="C4" i="1" s="1"/>
  <c r="F70" i="3" l="1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O30" i="1"/>
  <c r="AP28" i="1"/>
  <c r="AP27" i="1"/>
  <c r="E30" i="1"/>
  <c r="AI30" i="1"/>
  <c r="K30" i="1"/>
  <c r="AC30" i="1"/>
  <c r="M30" i="1"/>
  <c r="J30" i="1"/>
  <c r="AE30" i="1"/>
  <c r="S30" i="1"/>
  <c r="N30" i="1"/>
  <c r="Y30" i="1"/>
  <c r="AH30" i="1"/>
  <c r="V30" i="1"/>
  <c r="W30" i="1"/>
  <c r="U30" i="1"/>
  <c r="AJ30" i="1"/>
  <c r="L30" i="1"/>
  <c r="AD30" i="1"/>
  <c r="Q30" i="1"/>
  <c r="X30" i="1"/>
  <c r="AG30" i="1"/>
  <c r="AF30" i="1"/>
  <c r="AB30" i="1"/>
  <c r="I30" i="1"/>
  <c r="T30" i="1"/>
  <c r="AA30" i="1"/>
  <c r="R30" i="1"/>
  <c r="H30" i="1"/>
  <c r="G30" i="1"/>
  <c r="AL28" i="1"/>
  <c r="AM28" i="1" s="1"/>
  <c r="Z30" i="1"/>
  <c r="P30" i="1"/>
  <c r="F30" i="1"/>
  <c r="D30" i="1"/>
  <c r="AL27" i="1"/>
  <c r="AM27" i="1" s="1"/>
  <c r="B41" i="1" l="1" a="1"/>
  <c r="E38" i="1" s="1" a="1"/>
  <c r="F38" i="1" s="1"/>
  <c r="F58" i="1"/>
  <c r="F41" i="1"/>
  <c r="F63" i="1"/>
  <c r="F69" i="1"/>
  <c r="F40" i="1"/>
  <c r="F45" i="1"/>
  <c r="F50" i="1"/>
  <c r="F43" i="1"/>
  <c r="F54" i="1"/>
  <c r="F65" i="1"/>
  <c r="F46" i="1"/>
  <c r="F64" i="1"/>
  <c r="F51" i="1"/>
  <c r="F52" i="1"/>
  <c r="F39" i="1"/>
  <c r="F57" i="1"/>
  <c r="F62" i="1"/>
  <c r="F68" i="1"/>
  <c r="F59" i="1"/>
  <c r="F66" i="1"/>
  <c r="F47" i="1"/>
  <c r="F42" i="1"/>
  <c r="F70" i="1"/>
  <c r="F53" i="1"/>
  <c r="F56" i="1"/>
  <c r="F61" i="1"/>
  <c r="F48" i="1"/>
  <c r="F67" i="1"/>
  <c r="F55" i="1"/>
  <c r="F60" i="1"/>
  <c r="F44" i="1"/>
  <c r="F4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<sst xmlns="http://schemas.openxmlformats.org/spreadsheetml/2006/main" count="1481" uniqueCount="135">
  <si>
    <t>Paid Dues?</t>
  </si>
  <si>
    <t>Entry</t>
  </si>
  <si>
    <t>Tyler Farr</t>
  </si>
  <si>
    <t>Rob Farr</t>
  </si>
  <si>
    <t>Bridget Farr</t>
  </si>
  <si>
    <t>Pot:</t>
  </si>
  <si>
    <t>x</t>
  </si>
  <si>
    <t>Matt Silano</t>
  </si>
  <si>
    <t>Matt Little</t>
  </si>
  <si>
    <t>Conor Miller</t>
  </si>
  <si>
    <t>Abrar Jalal</t>
  </si>
  <si>
    <t>Adam Poleski</t>
  </si>
  <si>
    <t>Andy Chapman</t>
  </si>
  <si>
    <t>Derek Heid</t>
  </si>
  <si>
    <t>Drew Ronk</t>
  </si>
  <si>
    <t>Ethan Iatesta</t>
  </si>
  <si>
    <t>George Lesher</t>
  </si>
  <si>
    <t>Grayson Cantor</t>
  </si>
  <si>
    <t>Ian Polidora</t>
  </si>
  <si>
    <t>Isaac Freeman</t>
  </si>
  <si>
    <t>John Bullard</t>
  </si>
  <si>
    <t>Justin Kaufman</t>
  </si>
  <si>
    <t>Kush Patel</t>
  </si>
  <si>
    <t>Kyle Carson</t>
  </si>
  <si>
    <t>Matt Barrett</t>
  </si>
  <si>
    <t>Nick Wieber</t>
  </si>
  <si>
    <t>Sunny Mistry</t>
  </si>
  <si>
    <t>TJ Schaeffer</t>
  </si>
  <si>
    <t>Participants</t>
  </si>
  <si>
    <t>First 3 Out</t>
  </si>
  <si>
    <t>Top 12 Playoff Teams</t>
  </si>
  <si>
    <t>1 pt = correct team</t>
  </si>
  <si>
    <t>1 pt = correct champ</t>
  </si>
  <si>
    <t>Adam Mrozowski</t>
  </si>
  <si>
    <t>Ian's Dad</t>
  </si>
  <si>
    <t>Braden Stesiak</t>
  </si>
  <si>
    <t>Garrett Ley</t>
  </si>
  <si>
    <t>Paid:</t>
  </si>
  <si>
    <t>Clemson</t>
  </si>
  <si>
    <t>Penn State</t>
  </si>
  <si>
    <t>Texas</t>
  </si>
  <si>
    <t>Ohio State</t>
  </si>
  <si>
    <t>Georgia</t>
  </si>
  <si>
    <t>Oregon</t>
  </si>
  <si>
    <t>Notre Dame</t>
  </si>
  <si>
    <t>Kansas State</t>
  </si>
  <si>
    <t>Alabama</t>
  </si>
  <si>
    <t>LSU</t>
  </si>
  <si>
    <t>Texas A&amp;M</t>
  </si>
  <si>
    <t>Boise State</t>
  </si>
  <si>
    <t>Miami</t>
  </si>
  <si>
    <t>Oklahoma</t>
  </si>
  <si>
    <t>Arizona State</t>
  </si>
  <si>
    <t>Memphis</t>
  </si>
  <si>
    <t>Missouri</t>
  </si>
  <si>
    <t>Iowa State</t>
  </si>
  <si>
    <t>USC</t>
  </si>
  <si>
    <t>Texas Tech</t>
  </si>
  <si>
    <t>South Carolina</t>
  </si>
  <si>
    <t>Arizona</t>
  </si>
  <si>
    <t>Michigan</t>
  </si>
  <si>
    <t>BYU</t>
  </si>
  <si>
    <t>Tulane</t>
  </si>
  <si>
    <t>Florida</t>
  </si>
  <si>
    <t>Utah</t>
  </si>
  <si>
    <t>Baylor</t>
  </si>
  <si>
    <t>Nebraska</t>
  </si>
  <si>
    <t>SMU</t>
  </si>
  <si>
    <t>Illinois</t>
  </si>
  <si>
    <t>UNLV</t>
  </si>
  <si>
    <t>Ole Miss</t>
  </si>
  <si>
    <t>Pitt</t>
  </si>
  <si>
    <t>1 pt = correct team/seed</t>
  </si>
  <si>
    <t>3 changes b/w Week 6 and Week 7</t>
  </si>
  <si>
    <t>South Florida</t>
  </si>
  <si>
    <t>Louisville</t>
  </si>
  <si>
    <t>Ryan Miller</t>
  </si>
  <si>
    <t>Ethan Miller</t>
  </si>
  <si>
    <t>Nick Ulven</t>
  </si>
  <si>
    <t>Tennessee</t>
  </si>
  <si>
    <t>Indiana</t>
  </si>
  <si>
    <t>Washington</t>
  </si>
  <si>
    <t>James Madison</t>
  </si>
  <si>
    <t>Iowa</t>
  </si>
  <si>
    <t>Kansas</t>
  </si>
  <si>
    <t>Navy</t>
  </si>
  <si>
    <t>Georgia Tech</t>
  </si>
  <si>
    <t>3 moves</t>
  </si>
  <si>
    <t>unique</t>
  </si>
  <si>
    <t>Danny Ta</t>
  </si>
  <si>
    <t>Virginia</t>
  </si>
  <si>
    <t>x; reseeded</t>
  </si>
  <si>
    <t>Keaton Moorhead</t>
  </si>
  <si>
    <t>n/a</t>
  </si>
  <si>
    <t>Correct Team</t>
  </si>
  <si>
    <t>Position</t>
  </si>
  <si>
    <t>Champ</t>
  </si>
  <si>
    <t>Total Points</t>
  </si>
  <si>
    <t>Points</t>
  </si>
  <si>
    <t>Max Points?</t>
  </si>
  <si>
    <t>Anyone Have Zero?</t>
  </si>
  <si>
    <t>Count</t>
  </si>
  <si>
    <t>Raw Count</t>
  </si>
  <si>
    <t>SEC</t>
  </si>
  <si>
    <t>BIG10</t>
  </si>
  <si>
    <t>ACC</t>
  </si>
  <si>
    <t>BIG12</t>
  </si>
  <si>
    <t>Indep</t>
  </si>
  <si>
    <t>G5</t>
  </si>
  <si>
    <t>TEAM</t>
  </si>
  <si>
    <t>CONF</t>
  </si>
  <si>
    <t>Conf</t>
  </si>
  <si>
    <t>Grand Total</t>
  </si>
  <si>
    <t>Conference</t>
  </si>
  <si>
    <t>School Count</t>
  </si>
  <si>
    <t>Conference/School</t>
  </si>
  <si>
    <t>show largest changes from week 1 to week 6/7 changes</t>
  </si>
  <si>
    <t>ie: most teams added, most teams subtracted</t>
  </si>
  <si>
    <t>show week to week changes</t>
  </si>
  <si>
    <t>show playoff bracket looks like for first couple weeks</t>
  </si>
  <si>
    <t>give a sneaky rating based on which team has the most teams different from everyone else</t>
  </si>
  <si>
    <t>Tiebreaker Rules:</t>
  </si>
  <si>
    <t>1. # of correct playoff teams in first 3 out</t>
  </si>
  <si>
    <t>2. # of correct non-playoff teams in first 3 out</t>
  </si>
  <si>
    <t>3. # of correct non-playoff teams seeding position in first 3 out</t>
  </si>
  <si>
    <t>4. split the pot</t>
  </si>
  <si>
    <t>ACTUAL</t>
  </si>
  <si>
    <t>?</t>
  </si>
  <si>
    <t>Myles Epstein</t>
  </si>
  <si>
    <t>Justin Kauffman</t>
  </si>
  <si>
    <t>+ set your champ this week (free move)</t>
  </si>
  <si>
    <t>3 pt = correct champ</t>
  </si>
  <si>
    <t>New Mexico</t>
  </si>
  <si>
    <t>North Dakota State</t>
  </si>
  <si>
    <t>Fun ideas: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</si>
</sst>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0" borderId="2" xfId="0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1" fillId="2" borderId="1" xfId="0" applyFont="1" applyFill="1" applyBorder="1"/>
    <xf numFmtId="0" fontId="2" fillId="2" borderId="0" xfId="0" applyFont="1" applyFill="1"/>
    <xf numFmtId="0" fontId="1" fillId="2" borderId="0" xfId="0" applyFont="1" applyFill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1" applyFont="1"/>
    <xf numFmtId="0" fontId="0" fillId="2" borderId="0" xfId="0" applyFill="1" applyAlignment="1">
      <alignment horizontal="left" indent="1"/>
    </xf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/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/>
    <xf numFmtId="0" fontId="0" fillId="0" borderId="0" xfId="0" applyFont="1" applyFill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18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yler Farr" refreshedDate="45980.446121759262" createdVersion="8" refreshedVersion="8" minRefreshableVersion="3" recordCount="39" xr:uid="{2F70E2E1-F1D8-45ED-A3EC-F6BB3F28F49A}">
  <cacheSource type="worksheet">
    <worksheetSource ref="C3:D42" sheet="Most Popular Picks"/>
  </cacheSource>
  <cacheFields count="2">
    <cacheField name="TEAM" numFmtId="0">
      <sharedItems/>
    </cacheField>
    <cacheField name="CONF" numFmtId="0">
      <sharedItems count="6">
        <s v="SEC"/>
        <s v="BIG10"/>
        <s v="ACC"/>
        <s v="BIG12"/>
        <s v="Indep"/>
        <s v="G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yler Farr" refreshedDate="45980.446571990738" createdVersion="8" refreshedVersion="8" minRefreshableVersion="3" recordCount="396" xr:uid="{2E6AFF34-577A-4419-A6C7-906F86160DE6}">
  <cacheSource type="worksheet">
    <worksheetSource ref="F3:G399" sheet="Most Popular Picks"/>
  </cacheSource>
  <cacheFields count="2">
    <cacheField name="Raw Count" numFmtId="0">
      <sharedItems count="39">
        <s v="Ole Miss"/>
        <s v="Alabama"/>
        <s v="Penn State"/>
        <s v="Georgia"/>
        <s v="LSU"/>
        <s v="Oregon"/>
        <s v="Miami"/>
        <s v="Texas Tech"/>
        <s v="Ohio State"/>
        <s v="Illinois"/>
        <s v="Notre Dame"/>
        <s v="Memphis"/>
        <s v="Iowa State"/>
        <s v="Indiana"/>
        <s v="Oklahoma"/>
        <s v="UNLV"/>
        <s v="Texas"/>
        <s v="Texas A&amp;M"/>
        <s v="Tulane"/>
        <s v="Kansas State"/>
        <s v="Clemson"/>
        <s v="Arizona State"/>
        <s v="Boise State"/>
        <s v="Georgia Tech"/>
        <s v="Virginia"/>
        <s v="Utah"/>
        <s v="Michigan"/>
        <s v="Florida"/>
        <s v="Baylor"/>
        <s v="Missouri"/>
        <s v="South Florida"/>
        <s v="Tennessee"/>
        <s v="BYU"/>
        <s v="SMU"/>
        <s v="Washington"/>
        <s v="James Madison"/>
        <s v="Kansas"/>
        <s v="South Carolina"/>
        <s v="Navy"/>
      </sharedItems>
    </cacheField>
    <cacheField name="Conf" numFmtId="0">
      <sharedItems count="6">
        <s v="SEC"/>
        <s v="BIG10"/>
        <s v="ACC"/>
        <s v="BIG12"/>
        <s v="Indep"/>
        <s v="G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s v="Ole Miss"/>
    <x v="0"/>
  </r>
  <r>
    <s v="Alabama"/>
    <x v="0"/>
  </r>
  <r>
    <s v="Penn State"/>
    <x v="1"/>
  </r>
  <r>
    <s v="Georgia"/>
    <x v="0"/>
  </r>
  <r>
    <s v="LSU"/>
    <x v="0"/>
  </r>
  <r>
    <s v="Oregon"/>
    <x v="1"/>
  </r>
  <r>
    <s v="Miami"/>
    <x v="2"/>
  </r>
  <r>
    <s v="Texas Tech"/>
    <x v="3"/>
  </r>
  <r>
    <s v="Ohio State"/>
    <x v="1"/>
  </r>
  <r>
    <s v="Illinois"/>
    <x v="1"/>
  </r>
  <r>
    <s v="Notre Dame"/>
    <x v="4"/>
  </r>
  <r>
    <s v="Memphis"/>
    <x v="5"/>
  </r>
  <r>
    <s v="Iowa State"/>
    <x v="3"/>
  </r>
  <r>
    <s v="Indiana"/>
    <x v="1"/>
  </r>
  <r>
    <s v="Oklahoma"/>
    <x v="0"/>
  </r>
  <r>
    <s v="UNLV"/>
    <x v="5"/>
  </r>
  <r>
    <s v="Texas"/>
    <x v="0"/>
  </r>
  <r>
    <s v="Texas A&amp;M"/>
    <x v="0"/>
  </r>
  <r>
    <s v="Tulane"/>
    <x v="5"/>
  </r>
  <r>
    <s v="Kansas State"/>
    <x v="3"/>
  </r>
  <r>
    <s v="Clemson"/>
    <x v="2"/>
  </r>
  <r>
    <s v="Arizona State"/>
    <x v="3"/>
  </r>
  <r>
    <s v="Boise State"/>
    <x v="5"/>
  </r>
  <r>
    <s v="Georgia Tech"/>
    <x v="2"/>
  </r>
  <r>
    <s v="Virginia"/>
    <x v="2"/>
  </r>
  <r>
    <s v="Utah"/>
    <x v="3"/>
  </r>
  <r>
    <s v="Michigan"/>
    <x v="1"/>
  </r>
  <r>
    <s v="Florida"/>
    <x v="0"/>
  </r>
  <r>
    <s v="Baylor"/>
    <x v="3"/>
  </r>
  <r>
    <s v="Missouri"/>
    <x v="0"/>
  </r>
  <r>
    <s v="South Florida"/>
    <x v="5"/>
  </r>
  <r>
    <s v="Tennessee"/>
    <x v="0"/>
  </r>
  <r>
    <s v="BYU"/>
    <x v="3"/>
  </r>
  <r>
    <s v="SMU"/>
    <x v="2"/>
  </r>
  <r>
    <s v="Washington"/>
    <x v="1"/>
  </r>
  <r>
    <s v="James Madison"/>
    <x v="5"/>
  </r>
  <r>
    <s v="Kansas"/>
    <x v="3"/>
  </r>
  <r>
    <s v="South Carolina"/>
    <x v="0"/>
  </r>
  <r>
    <s v="Navy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6">
  <r>
    <x v="0"/>
    <x v="0"/>
  </r>
  <r>
    <x v="1"/>
    <x v="0"/>
  </r>
  <r>
    <x v="2"/>
    <x v="1"/>
  </r>
  <r>
    <x v="3"/>
    <x v="0"/>
  </r>
  <r>
    <x v="4"/>
    <x v="0"/>
  </r>
  <r>
    <x v="5"/>
    <x v="1"/>
  </r>
  <r>
    <x v="6"/>
    <x v="2"/>
  </r>
  <r>
    <x v="7"/>
    <x v="3"/>
  </r>
  <r>
    <x v="8"/>
    <x v="1"/>
  </r>
  <r>
    <x v="9"/>
    <x v="1"/>
  </r>
  <r>
    <x v="10"/>
    <x v="4"/>
  </r>
  <r>
    <x v="11"/>
    <x v="5"/>
  </r>
  <r>
    <x v="2"/>
    <x v="1"/>
  </r>
  <r>
    <x v="0"/>
    <x v="0"/>
  </r>
  <r>
    <x v="10"/>
    <x v="4"/>
  </r>
  <r>
    <x v="4"/>
    <x v="0"/>
  </r>
  <r>
    <x v="6"/>
    <x v="2"/>
  </r>
  <r>
    <x v="8"/>
    <x v="1"/>
  </r>
  <r>
    <x v="3"/>
    <x v="0"/>
  </r>
  <r>
    <x v="1"/>
    <x v="0"/>
  </r>
  <r>
    <x v="5"/>
    <x v="1"/>
  </r>
  <r>
    <x v="12"/>
    <x v="3"/>
  </r>
  <r>
    <x v="11"/>
    <x v="5"/>
  </r>
  <r>
    <x v="13"/>
    <x v="1"/>
  </r>
  <r>
    <x v="3"/>
    <x v="0"/>
  </r>
  <r>
    <x v="2"/>
    <x v="1"/>
  </r>
  <r>
    <x v="6"/>
    <x v="2"/>
  </r>
  <r>
    <x v="7"/>
    <x v="3"/>
  </r>
  <r>
    <x v="10"/>
    <x v="4"/>
  </r>
  <r>
    <x v="1"/>
    <x v="0"/>
  </r>
  <r>
    <x v="8"/>
    <x v="1"/>
  </r>
  <r>
    <x v="0"/>
    <x v="0"/>
  </r>
  <r>
    <x v="14"/>
    <x v="0"/>
  </r>
  <r>
    <x v="15"/>
    <x v="5"/>
  </r>
  <r>
    <x v="5"/>
    <x v="1"/>
  </r>
  <r>
    <x v="4"/>
    <x v="0"/>
  </r>
  <r>
    <x v="6"/>
    <x v="2"/>
  </r>
  <r>
    <x v="2"/>
    <x v="1"/>
  </r>
  <r>
    <x v="16"/>
    <x v="0"/>
  </r>
  <r>
    <x v="8"/>
    <x v="1"/>
  </r>
  <r>
    <x v="3"/>
    <x v="0"/>
  </r>
  <r>
    <x v="5"/>
    <x v="1"/>
  </r>
  <r>
    <x v="0"/>
    <x v="0"/>
  </r>
  <r>
    <x v="7"/>
    <x v="3"/>
  </r>
  <r>
    <x v="1"/>
    <x v="0"/>
  </r>
  <r>
    <x v="4"/>
    <x v="0"/>
  </r>
  <r>
    <x v="17"/>
    <x v="0"/>
  </r>
  <r>
    <x v="18"/>
    <x v="5"/>
  </r>
  <r>
    <x v="8"/>
    <x v="1"/>
  </r>
  <r>
    <x v="6"/>
    <x v="2"/>
  </r>
  <r>
    <x v="5"/>
    <x v="1"/>
  </r>
  <r>
    <x v="7"/>
    <x v="3"/>
  </r>
  <r>
    <x v="3"/>
    <x v="0"/>
  </r>
  <r>
    <x v="19"/>
    <x v="3"/>
  </r>
  <r>
    <x v="10"/>
    <x v="4"/>
  </r>
  <r>
    <x v="12"/>
    <x v="3"/>
  </r>
  <r>
    <x v="20"/>
    <x v="2"/>
  </r>
  <r>
    <x v="21"/>
    <x v="3"/>
  </r>
  <r>
    <x v="22"/>
    <x v="5"/>
  </r>
  <r>
    <x v="2"/>
    <x v="1"/>
  </r>
  <r>
    <x v="2"/>
    <x v="1"/>
  </r>
  <r>
    <x v="3"/>
    <x v="0"/>
  </r>
  <r>
    <x v="16"/>
    <x v="0"/>
  </r>
  <r>
    <x v="8"/>
    <x v="1"/>
  </r>
  <r>
    <x v="23"/>
    <x v="2"/>
  </r>
  <r>
    <x v="1"/>
    <x v="0"/>
  </r>
  <r>
    <x v="10"/>
    <x v="4"/>
  </r>
  <r>
    <x v="7"/>
    <x v="3"/>
  </r>
  <r>
    <x v="5"/>
    <x v="1"/>
  </r>
  <r>
    <x v="6"/>
    <x v="2"/>
  </r>
  <r>
    <x v="4"/>
    <x v="0"/>
  </r>
  <r>
    <x v="18"/>
    <x v="5"/>
  </r>
  <r>
    <x v="2"/>
    <x v="1"/>
  </r>
  <r>
    <x v="0"/>
    <x v="0"/>
  </r>
  <r>
    <x v="17"/>
    <x v="0"/>
  </r>
  <r>
    <x v="8"/>
    <x v="1"/>
  </r>
  <r>
    <x v="3"/>
    <x v="0"/>
  </r>
  <r>
    <x v="13"/>
    <x v="1"/>
  </r>
  <r>
    <x v="5"/>
    <x v="1"/>
  </r>
  <r>
    <x v="21"/>
    <x v="3"/>
  </r>
  <r>
    <x v="1"/>
    <x v="0"/>
  </r>
  <r>
    <x v="6"/>
    <x v="2"/>
  </r>
  <r>
    <x v="4"/>
    <x v="0"/>
  </r>
  <r>
    <x v="18"/>
    <x v="5"/>
  </r>
  <r>
    <x v="24"/>
    <x v="2"/>
  </r>
  <r>
    <x v="7"/>
    <x v="3"/>
  </r>
  <r>
    <x v="8"/>
    <x v="1"/>
  </r>
  <r>
    <x v="16"/>
    <x v="0"/>
  </r>
  <r>
    <x v="1"/>
    <x v="0"/>
  </r>
  <r>
    <x v="10"/>
    <x v="4"/>
  </r>
  <r>
    <x v="3"/>
    <x v="0"/>
  </r>
  <r>
    <x v="5"/>
    <x v="1"/>
  </r>
  <r>
    <x v="6"/>
    <x v="2"/>
  </r>
  <r>
    <x v="4"/>
    <x v="0"/>
  </r>
  <r>
    <x v="25"/>
    <x v="3"/>
  </r>
  <r>
    <x v="15"/>
    <x v="5"/>
  </r>
  <r>
    <x v="16"/>
    <x v="0"/>
  </r>
  <r>
    <x v="8"/>
    <x v="1"/>
  </r>
  <r>
    <x v="6"/>
    <x v="2"/>
  </r>
  <r>
    <x v="3"/>
    <x v="0"/>
  </r>
  <r>
    <x v="17"/>
    <x v="0"/>
  </r>
  <r>
    <x v="1"/>
    <x v="0"/>
  </r>
  <r>
    <x v="7"/>
    <x v="3"/>
  </r>
  <r>
    <x v="4"/>
    <x v="0"/>
  </r>
  <r>
    <x v="5"/>
    <x v="1"/>
  </r>
  <r>
    <x v="26"/>
    <x v="1"/>
  </r>
  <r>
    <x v="27"/>
    <x v="0"/>
  </r>
  <r>
    <x v="18"/>
    <x v="5"/>
  </r>
  <r>
    <x v="8"/>
    <x v="1"/>
  </r>
  <r>
    <x v="6"/>
    <x v="2"/>
  </r>
  <r>
    <x v="5"/>
    <x v="1"/>
  </r>
  <r>
    <x v="1"/>
    <x v="0"/>
  </r>
  <r>
    <x v="3"/>
    <x v="0"/>
  </r>
  <r>
    <x v="4"/>
    <x v="0"/>
  </r>
  <r>
    <x v="2"/>
    <x v="1"/>
  </r>
  <r>
    <x v="10"/>
    <x v="4"/>
  </r>
  <r>
    <x v="16"/>
    <x v="0"/>
  </r>
  <r>
    <x v="28"/>
    <x v="3"/>
  </r>
  <r>
    <x v="15"/>
    <x v="5"/>
  </r>
  <r>
    <x v="11"/>
    <x v="5"/>
  </r>
  <r>
    <x v="3"/>
    <x v="0"/>
  </r>
  <r>
    <x v="5"/>
    <x v="1"/>
  </r>
  <r>
    <x v="0"/>
    <x v="0"/>
  </r>
  <r>
    <x v="6"/>
    <x v="2"/>
  </r>
  <r>
    <x v="10"/>
    <x v="4"/>
  </r>
  <r>
    <x v="1"/>
    <x v="0"/>
  </r>
  <r>
    <x v="29"/>
    <x v="0"/>
  </r>
  <r>
    <x v="8"/>
    <x v="1"/>
  </r>
  <r>
    <x v="16"/>
    <x v="0"/>
  </r>
  <r>
    <x v="21"/>
    <x v="3"/>
  </r>
  <r>
    <x v="2"/>
    <x v="1"/>
  </r>
  <r>
    <x v="30"/>
    <x v="5"/>
  </r>
  <r>
    <x v="8"/>
    <x v="1"/>
  </r>
  <r>
    <x v="1"/>
    <x v="0"/>
  </r>
  <r>
    <x v="5"/>
    <x v="1"/>
  </r>
  <r>
    <x v="3"/>
    <x v="0"/>
  </r>
  <r>
    <x v="6"/>
    <x v="2"/>
  </r>
  <r>
    <x v="13"/>
    <x v="1"/>
  </r>
  <r>
    <x v="31"/>
    <x v="0"/>
  </r>
  <r>
    <x v="17"/>
    <x v="0"/>
  </r>
  <r>
    <x v="12"/>
    <x v="3"/>
  </r>
  <r>
    <x v="22"/>
    <x v="5"/>
  </r>
  <r>
    <x v="10"/>
    <x v="4"/>
  </r>
  <r>
    <x v="16"/>
    <x v="0"/>
  </r>
  <r>
    <x v="5"/>
    <x v="1"/>
  </r>
  <r>
    <x v="6"/>
    <x v="2"/>
  </r>
  <r>
    <x v="8"/>
    <x v="1"/>
  </r>
  <r>
    <x v="3"/>
    <x v="0"/>
  </r>
  <r>
    <x v="1"/>
    <x v="0"/>
  </r>
  <r>
    <x v="10"/>
    <x v="4"/>
  </r>
  <r>
    <x v="4"/>
    <x v="0"/>
  </r>
  <r>
    <x v="13"/>
    <x v="1"/>
  </r>
  <r>
    <x v="26"/>
    <x v="1"/>
  </r>
  <r>
    <x v="21"/>
    <x v="3"/>
  </r>
  <r>
    <x v="2"/>
    <x v="1"/>
  </r>
  <r>
    <x v="18"/>
    <x v="5"/>
  </r>
  <r>
    <x v="8"/>
    <x v="1"/>
  </r>
  <r>
    <x v="5"/>
    <x v="1"/>
  </r>
  <r>
    <x v="6"/>
    <x v="2"/>
  </r>
  <r>
    <x v="0"/>
    <x v="0"/>
  </r>
  <r>
    <x v="1"/>
    <x v="0"/>
  </r>
  <r>
    <x v="3"/>
    <x v="0"/>
  </r>
  <r>
    <x v="7"/>
    <x v="3"/>
  </r>
  <r>
    <x v="4"/>
    <x v="0"/>
  </r>
  <r>
    <x v="25"/>
    <x v="3"/>
  </r>
  <r>
    <x v="10"/>
    <x v="4"/>
  </r>
  <r>
    <x v="2"/>
    <x v="1"/>
  </r>
  <r>
    <x v="18"/>
    <x v="5"/>
  </r>
  <r>
    <x v="8"/>
    <x v="1"/>
  </r>
  <r>
    <x v="6"/>
    <x v="2"/>
  </r>
  <r>
    <x v="17"/>
    <x v="0"/>
  </r>
  <r>
    <x v="5"/>
    <x v="1"/>
  </r>
  <r>
    <x v="3"/>
    <x v="0"/>
  </r>
  <r>
    <x v="1"/>
    <x v="0"/>
  </r>
  <r>
    <x v="14"/>
    <x v="0"/>
  </r>
  <r>
    <x v="26"/>
    <x v="1"/>
  </r>
  <r>
    <x v="10"/>
    <x v="4"/>
  </r>
  <r>
    <x v="12"/>
    <x v="3"/>
  </r>
  <r>
    <x v="4"/>
    <x v="0"/>
  </r>
  <r>
    <x v="11"/>
    <x v="5"/>
  </r>
  <r>
    <x v="5"/>
    <x v="1"/>
  </r>
  <r>
    <x v="16"/>
    <x v="0"/>
  </r>
  <r>
    <x v="3"/>
    <x v="0"/>
  </r>
  <r>
    <x v="10"/>
    <x v="4"/>
  </r>
  <r>
    <x v="8"/>
    <x v="1"/>
  </r>
  <r>
    <x v="14"/>
    <x v="0"/>
  </r>
  <r>
    <x v="32"/>
    <x v="3"/>
  </r>
  <r>
    <x v="17"/>
    <x v="0"/>
  </r>
  <r>
    <x v="1"/>
    <x v="0"/>
  </r>
  <r>
    <x v="21"/>
    <x v="3"/>
  </r>
  <r>
    <x v="33"/>
    <x v="2"/>
  </r>
  <r>
    <x v="18"/>
    <x v="5"/>
  </r>
  <r>
    <x v="16"/>
    <x v="0"/>
  </r>
  <r>
    <x v="17"/>
    <x v="0"/>
  </r>
  <r>
    <x v="6"/>
    <x v="2"/>
  </r>
  <r>
    <x v="8"/>
    <x v="1"/>
  </r>
  <r>
    <x v="3"/>
    <x v="0"/>
  </r>
  <r>
    <x v="10"/>
    <x v="4"/>
  </r>
  <r>
    <x v="5"/>
    <x v="1"/>
  </r>
  <r>
    <x v="1"/>
    <x v="0"/>
  </r>
  <r>
    <x v="7"/>
    <x v="3"/>
  </r>
  <r>
    <x v="4"/>
    <x v="0"/>
  </r>
  <r>
    <x v="13"/>
    <x v="1"/>
  </r>
  <r>
    <x v="18"/>
    <x v="5"/>
  </r>
  <r>
    <x v="8"/>
    <x v="1"/>
  </r>
  <r>
    <x v="1"/>
    <x v="0"/>
  </r>
  <r>
    <x v="6"/>
    <x v="2"/>
  </r>
  <r>
    <x v="5"/>
    <x v="1"/>
  </r>
  <r>
    <x v="0"/>
    <x v="0"/>
  </r>
  <r>
    <x v="29"/>
    <x v="0"/>
  </r>
  <r>
    <x v="10"/>
    <x v="4"/>
  </r>
  <r>
    <x v="3"/>
    <x v="0"/>
  </r>
  <r>
    <x v="25"/>
    <x v="3"/>
  </r>
  <r>
    <x v="16"/>
    <x v="0"/>
  </r>
  <r>
    <x v="2"/>
    <x v="1"/>
  </r>
  <r>
    <x v="18"/>
    <x v="5"/>
  </r>
  <r>
    <x v="8"/>
    <x v="1"/>
  </r>
  <r>
    <x v="6"/>
    <x v="2"/>
  </r>
  <r>
    <x v="1"/>
    <x v="0"/>
  </r>
  <r>
    <x v="5"/>
    <x v="1"/>
  </r>
  <r>
    <x v="10"/>
    <x v="4"/>
  </r>
  <r>
    <x v="29"/>
    <x v="0"/>
  </r>
  <r>
    <x v="34"/>
    <x v="1"/>
  </r>
  <r>
    <x v="3"/>
    <x v="0"/>
  </r>
  <r>
    <x v="4"/>
    <x v="0"/>
  </r>
  <r>
    <x v="25"/>
    <x v="3"/>
  </r>
  <r>
    <x v="2"/>
    <x v="1"/>
  </r>
  <r>
    <x v="35"/>
    <x v="5"/>
  </r>
  <r>
    <x v="8"/>
    <x v="1"/>
  </r>
  <r>
    <x v="5"/>
    <x v="1"/>
  </r>
  <r>
    <x v="6"/>
    <x v="2"/>
  </r>
  <r>
    <x v="1"/>
    <x v="0"/>
  </r>
  <r>
    <x v="0"/>
    <x v="0"/>
  </r>
  <r>
    <x v="3"/>
    <x v="0"/>
  </r>
  <r>
    <x v="2"/>
    <x v="1"/>
  </r>
  <r>
    <x v="16"/>
    <x v="0"/>
  </r>
  <r>
    <x v="4"/>
    <x v="0"/>
  </r>
  <r>
    <x v="21"/>
    <x v="3"/>
  </r>
  <r>
    <x v="10"/>
    <x v="4"/>
  </r>
  <r>
    <x v="18"/>
    <x v="5"/>
  </r>
  <r>
    <x v="2"/>
    <x v="1"/>
  </r>
  <r>
    <x v="8"/>
    <x v="1"/>
  </r>
  <r>
    <x v="1"/>
    <x v="0"/>
  </r>
  <r>
    <x v="10"/>
    <x v="4"/>
  </r>
  <r>
    <x v="3"/>
    <x v="0"/>
  </r>
  <r>
    <x v="5"/>
    <x v="1"/>
  </r>
  <r>
    <x v="0"/>
    <x v="0"/>
  </r>
  <r>
    <x v="16"/>
    <x v="0"/>
  </r>
  <r>
    <x v="4"/>
    <x v="0"/>
  </r>
  <r>
    <x v="6"/>
    <x v="2"/>
  </r>
  <r>
    <x v="21"/>
    <x v="3"/>
  </r>
  <r>
    <x v="22"/>
    <x v="5"/>
  </r>
  <r>
    <x v="2"/>
    <x v="1"/>
  </r>
  <r>
    <x v="20"/>
    <x v="2"/>
  </r>
  <r>
    <x v="16"/>
    <x v="0"/>
  </r>
  <r>
    <x v="22"/>
    <x v="5"/>
  </r>
  <r>
    <x v="10"/>
    <x v="4"/>
  </r>
  <r>
    <x v="8"/>
    <x v="1"/>
  </r>
  <r>
    <x v="3"/>
    <x v="0"/>
  </r>
  <r>
    <x v="1"/>
    <x v="0"/>
  </r>
  <r>
    <x v="5"/>
    <x v="1"/>
  </r>
  <r>
    <x v="21"/>
    <x v="3"/>
  </r>
  <r>
    <x v="7"/>
    <x v="3"/>
  </r>
  <r>
    <x v="6"/>
    <x v="2"/>
  </r>
  <r>
    <x v="17"/>
    <x v="0"/>
  </r>
  <r>
    <x v="14"/>
    <x v="0"/>
  </r>
  <r>
    <x v="3"/>
    <x v="0"/>
  </r>
  <r>
    <x v="20"/>
    <x v="2"/>
  </r>
  <r>
    <x v="8"/>
    <x v="1"/>
  </r>
  <r>
    <x v="5"/>
    <x v="1"/>
  </r>
  <r>
    <x v="10"/>
    <x v="4"/>
  </r>
  <r>
    <x v="4"/>
    <x v="0"/>
  </r>
  <r>
    <x v="1"/>
    <x v="0"/>
  </r>
  <r>
    <x v="26"/>
    <x v="1"/>
  </r>
  <r>
    <x v="7"/>
    <x v="3"/>
  </r>
  <r>
    <x v="30"/>
    <x v="5"/>
  </r>
  <r>
    <x v="8"/>
    <x v="1"/>
  </r>
  <r>
    <x v="16"/>
    <x v="0"/>
  </r>
  <r>
    <x v="6"/>
    <x v="2"/>
  </r>
  <r>
    <x v="2"/>
    <x v="1"/>
  </r>
  <r>
    <x v="3"/>
    <x v="0"/>
  </r>
  <r>
    <x v="10"/>
    <x v="4"/>
  </r>
  <r>
    <x v="4"/>
    <x v="0"/>
  </r>
  <r>
    <x v="5"/>
    <x v="1"/>
  </r>
  <r>
    <x v="1"/>
    <x v="0"/>
  </r>
  <r>
    <x v="21"/>
    <x v="3"/>
  </r>
  <r>
    <x v="0"/>
    <x v="0"/>
  </r>
  <r>
    <x v="11"/>
    <x v="5"/>
  </r>
  <r>
    <x v="8"/>
    <x v="1"/>
  </r>
  <r>
    <x v="6"/>
    <x v="2"/>
  </r>
  <r>
    <x v="3"/>
    <x v="0"/>
  </r>
  <r>
    <x v="5"/>
    <x v="1"/>
  </r>
  <r>
    <x v="4"/>
    <x v="0"/>
  </r>
  <r>
    <x v="32"/>
    <x v="3"/>
  </r>
  <r>
    <x v="1"/>
    <x v="0"/>
  </r>
  <r>
    <x v="10"/>
    <x v="4"/>
  </r>
  <r>
    <x v="23"/>
    <x v="2"/>
  </r>
  <r>
    <x v="14"/>
    <x v="0"/>
  </r>
  <r>
    <x v="30"/>
    <x v="5"/>
  </r>
  <r>
    <x v="2"/>
    <x v="1"/>
  </r>
  <r>
    <x v="8"/>
    <x v="1"/>
  </r>
  <r>
    <x v="17"/>
    <x v="0"/>
  </r>
  <r>
    <x v="10"/>
    <x v="4"/>
  </r>
  <r>
    <x v="0"/>
    <x v="0"/>
  </r>
  <r>
    <x v="3"/>
    <x v="0"/>
  </r>
  <r>
    <x v="5"/>
    <x v="1"/>
  </r>
  <r>
    <x v="7"/>
    <x v="3"/>
  </r>
  <r>
    <x v="4"/>
    <x v="0"/>
  </r>
  <r>
    <x v="6"/>
    <x v="2"/>
  </r>
  <r>
    <x v="1"/>
    <x v="0"/>
  </r>
  <r>
    <x v="21"/>
    <x v="3"/>
  </r>
  <r>
    <x v="18"/>
    <x v="5"/>
  </r>
  <r>
    <x v="8"/>
    <x v="1"/>
  </r>
  <r>
    <x v="6"/>
    <x v="2"/>
  </r>
  <r>
    <x v="17"/>
    <x v="0"/>
  </r>
  <r>
    <x v="21"/>
    <x v="3"/>
  </r>
  <r>
    <x v="5"/>
    <x v="1"/>
  </r>
  <r>
    <x v="4"/>
    <x v="0"/>
  </r>
  <r>
    <x v="3"/>
    <x v="0"/>
  </r>
  <r>
    <x v="14"/>
    <x v="0"/>
  </r>
  <r>
    <x v="10"/>
    <x v="4"/>
  </r>
  <r>
    <x v="22"/>
    <x v="5"/>
  </r>
  <r>
    <x v="2"/>
    <x v="1"/>
  </r>
  <r>
    <x v="20"/>
    <x v="2"/>
  </r>
  <r>
    <x v="5"/>
    <x v="1"/>
  </r>
  <r>
    <x v="29"/>
    <x v="0"/>
  </r>
  <r>
    <x v="13"/>
    <x v="1"/>
  </r>
  <r>
    <x v="36"/>
    <x v="3"/>
  </r>
  <r>
    <x v="22"/>
    <x v="5"/>
  </r>
  <r>
    <x v="8"/>
    <x v="1"/>
  </r>
  <r>
    <x v="3"/>
    <x v="0"/>
  </r>
  <r>
    <x v="6"/>
    <x v="2"/>
  </r>
  <r>
    <x v="37"/>
    <x v="0"/>
  </r>
  <r>
    <x v="10"/>
    <x v="4"/>
  </r>
  <r>
    <x v="38"/>
    <x v="5"/>
  </r>
  <r>
    <x v="25"/>
    <x v="3"/>
  </r>
  <r>
    <x v="6"/>
    <x v="2"/>
  </r>
  <r>
    <x v="8"/>
    <x v="1"/>
  </r>
  <r>
    <x v="3"/>
    <x v="0"/>
  </r>
  <r>
    <x v="5"/>
    <x v="1"/>
  </r>
  <r>
    <x v="26"/>
    <x v="1"/>
  </r>
  <r>
    <x v="32"/>
    <x v="3"/>
  </r>
  <r>
    <x v="4"/>
    <x v="0"/>
  </r>
  <r>
    <x v="0"/>
    <x v="0"/>
  </r>
  <r>
    <x v="10"/>
    <x v="4"/>
  </r>
  <r>
    <x v="18"/>
    <x v="5"/>
  </r>
  <r>
    <x v="16"/>
    <x v="0"/>
  </r>
  <r>
    <x v="25"/>
    <x v="3"/>
  </r>
  <r>
    <x v="8"/>
    <x v="1"/>
  </r>
  <r>
    <x v="5"/>
    <x v="1"/>
  </r>
  <r>
    <x v="3"/>
    <x v="0"/>
  </r>
  <r>
    <x v="6"/>
    <x v="2"/>
  </r>
  <r>
    <x v="11"/>
    <x v="5"/>
  </r>
  <r>
    <x v="13"/>
    <x v="1"/>
  </r>
  <r>
    <x v="1"/>
    <x v="0"/>
  </r>
  <r>
    <x v="4"/>
    <x v="0"/>
  </r>
  <r>
    <x v="21"/>
    <x v="3"/>
  </r>
  <r>
    <x v="10"/>
    <x v="4"/>
  </r>
  <r>
    <x v="16"/>
    <x v="0"/>
  </r>
  <r>
    <x v="2"/>
    <x v="1"/>
  </r>
  <r>
    <x v="2"/>
    <x v="1"/>
  </r>
  <r>
    <x v="20"/>
    <x v="2"/>
  </r>
  <r>
    <x v="16"/>
    <x v="0"/>
  </r>
  <r>
    <x v="8"/>
    <x v="1"/>
  </r>
  <r>
    <x v="1"/>
    <x v="0"/>
  </r>
  <r>
    <x v="5"/>
    <x v="1"/>
  </r>
  <r>
    <x v="10"/>
    <x v="4"/>
  </r>
  <r>
    <x v="4"/>
    <x v="0"/>
  </r>
  <r>
    <x v="25"/>
    <x v="3"/>
  </r>
  <r>
    <x v="26"/>
    <x v="1"/>
  </r>
  <r>
    <x v="37"/>
    <x v="0"/>
  </r>
  <r>
    <x v="21"/>
    <x v="3"/>
  </r>
  <r>
    <x v="20"/>
    <x v="2"/>
  </r>
  <r>
    <x v="16"/>
    <x v="0"/>
  </r>
  <r>
    <x v="8"/>
    <x v="1"/>
  </r>
  <r>
    <x v="21"/>
    <x v="3"/>
  </r>
  <r>
    <x v="2"/>
    <x v="1"/>
  </r>
  <r>
    <x v="10"/>
    <x v="4"/>
  </r>
  <r>
    <x v="3"/>
    <x v="0"/>
  </r>
  <r>
    <x v="4"/>
    <x v="0"/>
  </r>
  <r>
    <x v="5"/>
    <x v="1"/>
  </r>
  <r>
    <x v="1"/>
    <x v="0"/>
  </r>
  <r>
    <x v="6"/>
    <x v="2"/>
  </r>
  <r>
    <x v="18"/>
    <x v="5"/>
  </r>
  <r>
    <x v="6"/>
    <x v="2"/>
  </r>
  <r>
    <x v="8"/>
    <x v="1"/>
  </r>
  <r>
    <x v="0"/>
    <x v="0"/>
  </r>
  <r>
    <x v="5"/>
    <x v="1"/>
  </r>
  <r>
    <x v="1"/>
    <x v="0"/>
  </r>
  <r>
    <x v="3"/>
    <x v="0"/>
  </r>
  <r>
    <x v="4"/>
    <x v="0"/>
  </r>
  <r>
    <x v="10"/>
    <x v="4"/>
  </r>
  <r>
    <x v="16"/>
    <x v="0"/>
  </r>
  <r>
    <x v="2"/>
    <x v="1"/>
  </r>
  <r>
    <x v="21"/>
    <x v="3"/>
  </r>
  <r>
    <x v="22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96A494-A5DB-4264-8852-AA7C11B4A90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nference/School">
  <location ref="M6:N52" firstHeaderRow="1" firstDataRow="1" firstDataCol="1"/>
  <pivotFields count="2">
    <pivotField axis="axisRow" dataField="1" showAll="0" sortType="descending">
      <items count="40">
        <item x="1"/>
        <item x="21"/>
        <item x="28"/>
        <item x="22"/>
        <item x="32"/>
        <item x="20"/>
        <item x="27"/>
        <item x="3"/>
        <item x="23"/>
        <item x="9"/>
        <item x="13"/>
        <item x="12"/>
        <item x="35"/>
        <item x="36"/>
        <item x="19"/>
        <item x="4"/>
        <item x="11"/>
        <item x="6"/>
        <item x="26"/>
        <item x="29"/>
        <item x="38"/>
        <item x="10"/>
        <item x="8"/>
        <item x="14"/>
        <item x="0"/>
        <item x="5"/>
        <item x="2"/>
        <item x="33"/>
        <item x="37"/>
        <item x="30"/>
        <item x="31"/>
        <item x="16"/>
        <item x="17"/>
        <item x="7"/>
        <item x="18"/>
        <item x="15"/>
        <item x="25"/>
        <item x="24"/>
        <item x="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7">
        <item x="2"/>
        <item x="1"/>
        <item x="3"/>
        <item x="5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1"/>
    <field x="0"/>
  </rowFields>
  <rowItems count="46">
    <i>
      <x v="5"/>
    </i>
    <i r="1">
      <x v="7"/>
    </i>
    <i r="1">
      <x/>
    </i>
    <i r="1">
      <x v="15"/>
    </i>
    <i r="1">
      <x v="31"/>
    </i>
    <i r="1">
      <x v="24"/>
    </i>
    <i r="1">
      <x v="32"/>
    </i>
    <i r="1">
      <x v="23"/>
    </i>
    <i r="1">
      <x v="19"/>
    </i>
    <i r="1">
      <x v="28"/>
    </i>
    <i r="1">
      <x v="6"/>
    </i>
    <i r="1">
      <x v="30"/>
    </i>
    <i>
      <x v="1"/>
    </i>
    <i r="1">
      <x v="25"/>
    </i>
    <i r="1">
      <x v="22"/>
    </i>
    <i r="1">
      <x v="26"/>
    </i>
    <i r="1">
      <x v="10"/>
    </i>
    <i r="1">
      <x v="18"/>
    </i>
    <i r="1">
      <x v="38"/>
    </i>
    <i r="1">
      <x v="9"/>
    </i>
    <i>
      <x v="2"/>
    </i>
    <i r="1">
      <x v="1"/>
    </i>
    <i r="1">
      <x v="33"/>
    </i>
    <i r="1">
      <x v="36"/>
    </i>
    <i r="1">
      <x v="11"/>
    </i>
    <i r="1">
      <x v="4"/>
    </i>
    <i r="1">
      <x v="2"/>
    </i>
    <i r="1">
      <x v="13"/>
    </i>
    <i r="1">
      <x v="14"/>
    </i>
    <i>
      <x/>
    </i>
    <i r="1">
      <x v="17"/>
    </i>
    <i r="1">
      <x v="5"/>
    </i>
    <i r="1">
      <x v="8"/>
    </i>
    <i r="1">
      <x v="37"/>
    </i>
    <i r="1">
      <x v="27"/>
    </i>
    <i>
      <x v="3"/>
    </i>
    <i r="1">
      <x v="34"/>
    </i>
    <i r="1">
      <x v="3"/>
    </i>
    <i r="1">
      <x v="16"/>
    </i>
    <i r="1">
      <x v="35"/>
    </i>
    <i r="1">
      <x v="29"/>
    </i>
    <i r="1">
      <x v="12"/>
    </i>
    <i r="1">
      <x v="20"/>
    </i>
    <i>
      <x v="4"/>
    </i>
    <i r="1">
      <x v="21"/>
    </i>
    <i t="grand">
      <x/>
    </i>
  </rowItems>
  <colItems count="1">
    <i/>
  </colItems>
  <dataFields count="1">
    <dataField name="Count" fld="0" subtotal="count" baseField="0" baseItem="0"/>
  </dataFields>
  <formats count="18">
    <format dxfId="17">
      <pivotArea collapsedLevelsAreSubtotals="1" fieldPosition="0">
        <references count="2">
          <reference field="0" count="2">
            <x v="0"/>
            <x v="7"/>
          </reference>
          <reference field="1" count="1" selected="0">
            <x v="5"/>
          </reference>
        </references>
      </pivotArea>
    </format>
    <format dxfId="16">
      <pivotArea dataOnly="0" labelOnly="1" fieldPosition="0">
        <references count="2">
          <reference field="0" count="2">
            <x v="0"/>
            <x v="7"/>
          </reference>
          <reference field="1" count="1" selected="0">
            <x v="5"/>
          </reference>
        </references>
      </pivotArea>
    </format>
    <format dxfId="15">
      <pivotArea collapsedLevelsAreSubtotals="1" fieldPosition="0">
        <references count="2">
          <reference field="0" count="1">
            <x v="24"/>
          </reference>
          <reference field="1" count="1" selected="0">
            <x v="5"/>
          </reference>
        </references>
      </pivotArea>
    </format>
    <format dxfId="14">
      <pivotArea dataOnly="0" labelOnly="1" fieldPosition="0">
        <references count="2">
          <reference field="0" count="1">
            <x v="24"/>
          </reference>
          <reference field="1" count="1" selected="0">
            <x v="5"/>
          </reference>
        </references>
      </pivotArea>
    </format>
    <format dxfId="13">
      <pivotArea collapsedLevelsAreSubtotals="1" fieldPosition="0">
        <references count="2">
          <reference field="0" count="2">
            <x v="23"/>
            <x v="32"/>
          </reference>
          <reference field="1" count="1" selected="0">
            <x v="5"/>
          </reference>
        </references>
      </pivotArea>
    </format>
    <format dxfId="12">
      <pivotArea dataOnly="0" labelOnly="1" fieldPosition="0">
        <references count="2">
          <reference field="0" count="2">
            <x v="23"/>
            <x v="32"/>
          </reference>
          <reference field="1" count="1" selected="0">
            <x v="5"/>
          </reference>
        </references>
      </pivotArea>
    </format>
    <format dxfId="11">
      <pivotArea collapsedLevelsAreSubtotals="1" fieldPosition="0">
        <references count="2">
          <reference field="0" count="2">
            <x v="22"/>
            <x v="25"/>
          </reference>
          <reference field="1" count="1" selected="0">
            <x v="1"/>
          </reference>
        </references>
      </pivotArea>
    </format>
    <format dxfId="10">
      <pivotArea dataOnly="0" labelOnly="1" fieldPosition="0">
        <references count="2">
          <reference field="0" count="2">
            <x v="22"/>
            <x v="25"/>
          </reference>
          <reference field="1" count="1" selected="0">
            <x v="1"/>
          </reference>
        </references>
      </pivotArea>
    </format>
    <format dxfId="9">
      <pivotArea collapsedLevelsAreSubtotals="1" fieldPosition="0">
        <references count="2">
          <reference field="0" count="1">
            <x v="10"/>
          </reference>
          <reference field="1" count="1" selected="0">
            <x v="1"/>
          </reference>
        </references>
      </pivotArea>
    </format>
    <format dxfId="8">
      <pivotArea dataOnly="0" labelOnly="1" fieldPosition="0">
        <references count="2">
          <reference field="0" count="1">
            <x v="10"/>
          </reference>
          <reference field="1" count="1" selected="0">
            <x v="1"/>
          </reference>
        </references>
      </pivotArea>
    </format>
    <format dxfId="7">
      <pivotArea collapsedLevelsAreSubtotals="1" fieldPosition="0">
        <references count="2">
          <reference field="0" count="1">
            <x v="33"/>
          </reference>
          <reference field="1" count="1" selected="0">
            <x v="2"/>
          </reference>
        </references>
      </pivotArea>
    </format>
    <format dxfId="6">
      <pivotArea dataOnly="0" labelOnly="1" fieldPosition="0">
        <references count="2">
          <reference field="0" count="1">
            <x v="33"/>
          </reference>
          <reference field="1" count="1" selected="0">
            <x v="2"/>
          </reference>
        </references>
      </pivotArea>
    </format>
    <format dxfId="5">
      <pivotArea collapsedLevelsAreSubtotals="1" fieldPosition="0">
        <references count="2">
          <reference field="0" count="1">
            <x v="17"/>
          </reference>
          <reference field="1" count="1" selected="0">
            <x v="0"/>
          </reference>
        </references>
      </pivotArea>
    </format>
    <format dxfId="4">
      <pivotArea dataOnly="0" labelOnly="1" fieldPosition="0">
        <references count="2">
          <reference field="0" count="1">
            <x v="17"/>
          </reference>
          <reference field="1" count="1" selected="0">
            <x v="0"/>
          </reference>
        </references>
      </pivotArea>
    </format>
    <format dxfId="3">
      <pivotArea collapsedLevelsAreSubtotals="1" fieldPosition="0">
        <references count="2">
          <reference field="0" count="1">
            <x v="34"/>
          </reference>
          <reference field="1" count="1" selected="0">
            <x v="3"/>
          </reference>
        </references>
      </pivotArea>
    </format>
    <format dxfId="2">
      <pivotArea dataOnly="0" labelOnly="1" fieldPosition="0">
        <references count="2">
          <reference field="0" count="1">
            <x v="34"/>
          </reference>
          <reference field="1" count="1" selected="0">
            <x v="3"/>
          </reference>
        </references>
      </pivotArea>
    </format>
    <format dxfId="1">
      <pivotArea collapsedLevelsAreSubtotals="1" fieldPosition="0">
        <references count="2">
          <reference field="0" count="1">
            <x v="21"/>
          </reference>
          <reference field="1" count="1" selected="0">
            <x v="4"/>
          </reference>
        </references>
      </pivotArea>
    </format>
    <format dxfId="0">
      <pivotArea dataOnly="0" labelOnly="1" fieldPosition="0">
        <references count="2">
          <reference field="0" count="1">
            <x v="21"/>
          </reference>
          <reference field="1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34D2AD-3849-4A3F-938C-DC8A3DCD174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nference">
  <location ref="J6:K13" firstHeaderRow="1" firstDataRow="1" firstDataCol="1"/>
  <pivotFields count="2">
    <pivotField dataField="1" showAll="0"/>
    <pivotField axis="axisRow" showAll="0" sortType="descending">
      <items count="7">
        <item x="2"/>
        <item x="1"/>
        <item x="3"/>
        <item x="5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7">
    <i>
      <x v="5"/>
    </i>
    <i>
      <x v="2"/>
    </i>
    <i>
      <x v="1"/>
    </i>
    <i>
      <x v="3"/>
    </i>
    <i>
      <x/>
    </i>
    <i>
      <x v="4"/>
    </i>
    <i t="grand">
      <x/>
    </i>
  </rowItems>
  <colItems count="1">
    <i/>
  </colItems>
  <dataFields count="1">
    <dataField name="School Cou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293F2-AEC0-4340-B819-0C75454514B9}">
  <dimension ref="A1:AP73"/>
  <sheetViews>
    <sheetView showGridLines="0" zoomScale="86" zoomScaleNormal="86" workbookViewId="0">
      <selection activeCell="E26" sqref="E26"/>
    </sheetView>
  </sheetViews>
  <sheetFormatPr defaultRowHeight="14.5" x14ac:dyDescent="0.35"/>
  <cols>
    <col min="1" max="1" width="4.26953125" customWidth="1"/>
    <col min="2" max="2" width="11" bestFit="1" customWidth="1"/>
    <col min="3" max="3" width="11.81640625" bestFit="1" customWidth="1"/>
    <col min="4" max="4" width="11.453125" bestFit="1" customWidth="1"/>
    <col min="5" max="5" width="15" bestFit="1" customWidth="1"/>
    <col min="6" max="6" width="12.6328125" bestFit="1" customWidth="1"/>
    <col min="7" max="7" width="11.453125" bestFit="1" customWidth="1"/>
    <col min="8" max="8" width="14.81640625" bestFit="1" customWidth="1"/>
    <col min="9" max="9" width="11.26953125" bestFit="1" customWidth="1"/>
    <col min="10" max="10" width="12.6328125" bestFit="1" customWidth="1"/>
    <col min="11" max="11" width="11.453125" bestFit="1" customWidth="1"/>
    <col min="12" max="12" width="10.54296875" bestFit="1" customWidth="1"/>
    <col min="13" max="13" width="12.08984375" bestFit="1" customWidth="1"/>
    <col min="14" max="14" width="15.36328125" bestFit="1" customWidth="1"/>
    <col min="15" max="15" width="13.6328125" bestFit="1" customWidth="1"/>
    <col min="16" max="17" width="12.6328125" bestFit="1" customWidth="1"/>
    <col min="18" max="18" width="11.7265625" bestFit="1" customWidth="1"/>
    <col min="19" max="19" width="12.54296875" bestFit="1" customWidth="1"/>
    <col min="20" max="20" width="13.7265625" bestFit="1" customWidth="1"/>
    <col min="21" max="21" width="13.1796875" bestFit="1" customWidth="1"/>
    <col min="22" max="22" width="10.54296875" bestFit="1" customWidth="1"/>
    <col min="23" max="23" width="13.08984375" bestFit="1" customWidth="1"/>
    <col min="24" max="24" width="11.453125" bestFit="1" customWidth="1"/>
    <col min="25" max="25" width="13.7265625" bestFit="1" customWidth="1"/>
    <col min="26" max="26" width="11.36328125" bestFit="1" customWidth="1"/>
    <col min="27" max="27" width="12.6328125" bestFit="1" customWidth="1"/>
    <col min="28" max="28" width="11.36328125" bestFit="1" customWidth="1"/>
    <col min="29" max="29" width="11.453125" bestFit="1" customWidth="1"/>
    <col min="30" max="31" width="12.6328125" bestFit="1" customWidth="1"/>
    <col min="32" max="32" width="13.36328125" bestFit="1" customWidth="1"/>
    <col min="33" max="36" width="12.6328125" bestFit="1" customWidth="1"/>
    <col min="40" max="40" width="10.54296875" bestFit="1" customWidth="1"/>
    <col min="41" max="41" width="16.54296875" bestFit="1" customWidth="1"/>
  </cols>
  <sheetData>
    <row r="1" spans="1:36" ht="7.5" customHeight="1" x14ac:dyDescent="0.35">
      <c r="K1" t="s">
        <v>121</v>
      </c>
    </row>
    <row r="2" spans="1:36" x14ac:dyDescent="0.35">
      <c r="B2" s="3" t="s">
        <v>28</v>
      </c>
      <c r="C2" s="1">
        <f>COUNTA(D6:XFD6)</f>
        <v>33</v>
      </c>
      <c r="F2" t="s">
        <v>31</v>
      </c>
      <c r="H2" t="s">
        <v>73</v>
      </c>
      <c r="K2" t="s">
        <v>122</v>
      </c>
    </row>
    <row r="3" spans="1:36" x14ac:dyDescent="0.35">
      <c r="B3" s="3" t="s">
        <v>37</v>
      </c>
      <c r="C3" s="1">
        <f>COUNTA(D7:XFD7)</f>
        <v>33</v>
      </c>
      <c r="F3" t="s">
        <v>72</v>
      </c>
      <c r="K3" t="s">
        <v>123</v>
      </c>
    </row>
    <row r="4" spans="1:36" x14ac:dyDescent="0.35">
      <c r="B4" s="3" t="s">
        <v>5</v>
      </c>
      <c r="C4" s="4">
        <f>5*C3</f>
        <v>165</v>
      </c>
      <c r="F4" t="s">
        <v>32</v>
      </c>
      <c r="K4" t="s">
        <v>124</v>
      </c>
    </row>
    <row r="5" spans="1:36" x14ac:dyDescent="0.35">
      <c r="K5" t="s">
        <v>125</v>
      </c>
    </row>
    <row r="6" spans="1:36" s="9" customFormat="1" x14ac:dyDescent="0.35">
      <c r="A6"/>
      <c r="B6"/>
      <c r="C6" s="2" t="s">
        <v>1</v>
      </c>
      <c r="D6" s="8" t="s">
        <v>2</v>
      </c>
      <c r="E6" s="8" t="s">
        <v>3</v>
      </c>
      <c r="F6" s="8" t="s">
        <v>4</v>
      </c>
      <c r="G6" s="8" t="s">
        <v>7</v>
      </c>
      <c r="H6" s="8" t="s">
        <v>33</v>
      </c>
      <c r="I6" s="8" t="s">
        <v>8</v>
      </c>
      <c r="J6" s="8" t="s">
        <v>9</v>
      </c>
      <c r="K6" s="8" t="s">
        <v>89</v>
      </c>
      <c r="L6" s="8" t="s">
        <v>10</v>
      </c>
      <c r="M6" s="8" t="s">
        <v>11</v>
      </c>
      <c r="N6" s="8" t="s">
        <v>92</v>
      </c>
      <c r="O6" s="8" t="s">
        <v>12</v>
      </c>
      <c r="P6" s="8" t="s">
        <v>13</v>
      </c>
      <c r="Q6" s="8" t="s">
        <v>14</v>
      </c>
      <c r="R6" s="8" t="s">
        <v>15</v>
      </c>
      <c r="S6" s="8" t="s">
        <v>16</v>
      </c>
      <c r="T6" s="8" t="s">
        <v>17</v>
      </c>
      <c r="U6" s="8" t="s">
        <v>18</v>
      </c>
      <c r="V6" s="8" t="s">
        <v>34</v>
      </c>
      <c r="W6" s="8" t="s">
        <v>19</v>
      </c>
      <c r="X6" s="8" t="s">
        <v>20</v>
      </c>
      <c r="Y6" s="8" t="s">
        <v>21</v>
      </c>
      <c r="Z6" s="8" t="s">
        <v>22</v>
      </c>
      <c r="AA6" s="8" t="s">
        <v>23</v>
      </c>
      <c r="AB6" s="8" t="s">
        <v>24</v>
      </c>
      <c r="AC6" s="8" t="s">
        <v>25</v>
      </c>
      <c r="AD6" s="8" t="s">
        <v>26</v>
      </c>
      <c r="AE6" s="8" t="s">
        <v>27</v>
      </c>
      <c r="AF6" s="8" t="s">
        <v>35</v>
      </c>
      <c r="AG6" s="8" t="s">
        <v>36</v>
      </c>
      <c r="AH6" s="8" t="s">
        <v>76</v>
      </c>
      <c r="AI6" s="8" t="s">
        <v>77</v>
      </c>
      <c r="AJ6" s="2" t="s">
        <v>78</v>
      </c>
    </row>
    <row r="7" spans="1:36" s="10" customFormat="1" x14ac:dyDescent="0.35">
      <c r="A7"/>
      <c r="B7"/>
      <c r="C7" s="2" t="s">
        <v>0</v>
      </c>
      <c r="D7" s="5" t="s">
        <v>6</v>
      </c>
      <c r="E7" s="5" t="s">
        <v>6</v>
      </c>
      <c r="F7" s="5" t="s">
        <v>6</v>
      </c>
      <c r="G7" s="5" t="s">
        <v>6</v>
      </c>
      <c r="H7" s="5" t="s">
        <v>6</v>
      </c>
      <c r="I7" s="5" t="s">
        <v>6</v>
      </c>
      <c r="J7" s="5" t="s">
        <v>6</v>
      </c>
      <c r="K7" s="5" t="s">
        <v>6</v>
      </c>
      <c r="L7" s="5" t="s">
        <v>6</v>
      </c>
      <c r="M7" s="5" t="s">
        <v>6</v>
      </c>
      <c r="N7" s="5" t="s">
        <v>6</v>
      </c>
      <c r="O7" s="5" t="s">
        <v>6</v>
      </c>
      <c r="P7" s="5" t="s">
        <v>6</v>
      </c>
      <c r="Q7" s="5" t="s">
        <v>6</v>
      </c>
      <c r="R7" s="5" t="s">
        <v>6</v>
      </c>
      <c r="S7" s="5" t="s">
        <v>6</v>
      </c>
      <c r="T7" s="5" t="s">
        <v>6</v>
      </c>
      <c r="U7" s="5" t="s">
        <v>6</v>
      </c>
      <c r="V7" s="5" t="s">
        <v>6</v>
      </c>
      <c r="W7" s="5" t="s">
        <v>6</v>
      </c>
      <c r="X7" s="5" t="s">
        <v>6</v>
      </c>
      <c r="Y7" s="5" t="s">
        <v>6</v>
      </c>
      <c r="Z7" s="5" t="s">
        <v>6</v>
      </c>
      <c r="AA7" s="5" t="s">
        <v>6</v>
      </c>
      <c r="AB7" s="5" t="s">
        <v>6</v>
      </c>
      <c r="AC7" s="5" t="s">
        <v>6</v>
      </c>
      <c r="AD7" s="5" t="s">
        <v>6</v>
      </c>
      <c r="AE7" s="5" t="s">
        <v>6</v>
      </c>
      <c r="AF7" s="5" t="s">
        <v>6</v>
      </c>
      <c r="AG7" s="5" t="s">
        <v>6</v>
      </c>
      <c r="AH7" s="5" t="s">
        <v>6</v>
      </c>
      <c r="AI7" s="5" t="s">
        <v>6</v>
      </c>
      <c r="AJ7" s="5" t="s">
        <v>6</v>
      </c>
    </row>
    <row r="8" spans="1:36" x14ac:dyDescent="0.35">
      <c r="B8" s="23" t="s">
        <v>30</v>
      </c>
      <c r="C8" s="2">
        <v>1</v>
      </c>
      <c r="D8" s="2" t="s">
        <v>70</v>
      </c>
      <c r="E8" s="6" t="s">
        <v>39</v>
      </c>
      <c r="F8" s="1" t="s">
        <v>42</v>
      </c>
      <c r="G8" s="2" t="s">
        <v>50</v>
      </c>
      <c r="H8" s="1" t="s">
        <v>41</v>
      </c>
      <c r="I8" s="6" t="s">
        <v>39</v>
      </c>
      <c r="J8" s="6" t="s">
        <v>39</v>
      </c>
      <c r="K8" s="2" t="s">
        <v>90</v>
      </c>
      <c r="L8" s="1" t="s">
        <v>40</v>
      </c>
      <c r="M8" s="1" t="s">
        <v>41</v>
      </c>
      <c r="N8" s="12" t="s">
        <v>42</v>
      </c>
      <c r="O8" s="1" t="s">
        <v>41</v>
      </c>
      <c r="P8" s="1" t="s">
        <v>43</v>
      </c>
      <c r="Q8" s="1" t="s">
        <v>41</v>
      </c>
      <c r="R8" s="1" t="s">
        <v>41</v>
      </c>
      <c r="S8" s="1" t="s">
        <v>43</v>
      </c>
      <c r="T8" s="1" t="s">
        <v>40</v>
      </c>
      <c r="U8" s="1" t="s">
        <v>41</v>
      </c>
      <c r="V8" s="1" t="s">
        <v>41</v>
      </c>
      <c r="W8" s="1" t="s">
        <v>41</v>
      </c>
      <c r="X8" s="1" t="s">
        <v>39</v>
      </c>
      <c r="Y8" s="6" t="s">
        <v>39</v>
      </c>
      <c r="Z8" s="2" t="s">
        <v>48</v>
      </c>
      <c r="AA8" s="12" t="s">
        <v>41</v>
      </c>
      <c r="AB8" s="1" t="s">
        <v>41</v>
      </c>
      <c r="AC8" s="1" t="s">
        <v>41</v>
      </c>
      <c r="AD8" s="1" t="s">
        <v>41</v>
      </c>
      <c r="AE8" s="2" t="s">
        <v>43</v>
      </c>
      <c r="AF8" s="1" t="s">
        <v>50</v>
      </c>
      <c r="AG8" s="1" t="s">
        <v>41</v>
      </c>
      <c r="AH8" s="6" t="s">
        <v>39</v>
      </c>
      <c r="AI8" s="6" t="s">
        <v>38</v>
      </c>
      <c r="AJ8" s="1" t="s">
        <v>50</v>
      </c>
    </row>
    <row r="9" spans="1:36" x14ac:dyDescent="0.35">
      <c r="B9" s="23"/>
      <c r="C9" s="2">
        <v>2</v>
      </c>
      <c r="D9" s="2" t="s">
        <v>46</v>
      </c>
      <c r="E9" s="2" t="s">
        <v>70</v>
      </c>
      <c r="F9" s="6" t="s">
        <v>39</v>
      </c>
      <c r="G9" s="6" t="s">
        <v>39</v>
      </c>
      <c r="H9" s="2" t="s">
        <v>50</v>
      </c>
      <c r="I9" s="1" t="s">
        <v>42</v>
      </c>
      <c r="J9" s="2" t="s">
        <v>70</v>
      </c>
      <c r="K9" s="2" t="s">
        <v>57</v>
      </c>
      <c r="L9" s="6" t="s">
        <v>41</v>
      </c>
      <c r="M9" s="2" t="s">
        <v>50</v>
      </c>
      <c r="N9" s="1" t="s">
        <v>43</v>
      </c>
      <c r="O9" s="1" t="s">
        <v>46</v>
      </c>
      <c r="P9" s="2" t="s">
        <v>50</v>
      </c>
      <c r="Q9" s="1" t="s">
        <v>43</v>
      </c>
      <c r="R9" s="1" t="s">
        <v>50</v>
      </c>
      <c r="S9" s="1" t="s">
        <v>40</v>
      </c>
      <c r="T9" s="2" t="s">
        <v>48</v>
      </c>
      <c r="U9" s="1" t="s">
        <v>50</v>
      </c>
      <c r="V9" s="1" t="s">
        <v>46</v>
      </c>
      <c r="W9" s="1" t="s">
        <v>43</v>
      </c>
      <c r="X9" s="12" t="s">
        <v>41</v>
      </c>
      <c r="Y9" s="1" t="s">
        <v>38</v>
      </c>
      <c r="Z9" s="2" t="s">
        <v>51</v>
      </c>
      <c r="AA9" s="7" t="s">
        <v>40</v>
      </c>
      <c r="AB9" s="1" t="s">
        <v>50</v>
      </c>
      <c r="AC9" s="2" t="s">
        <v>48</v>
      </c>
      <c r="AD9" s="1" t="s">
        <v>50</v>
      </c>
      <c r="AE9" s="2" t="s">
        <v>54</v>
      </c>
      <c r="AF9" s="1" t="s">
        <v>41</v>
      </c>
      <c r="AG9" s="1" t="s">
        <v>43</v>
      </c>
      <c r="AH9" s="1" t="s">
        <v>38</v>
      </c>
      <c r="AI9" s="1" t="s">
        <v>40</v>
      </c>
      <c r="AJ9" s="1" t="s">
        <v>41</v>
      </c>
    </row>
    <row r="10" spans="1:36" x14ac:dyDescent="0.35">
      <c r="B10" s="23"/>
      <c r="C10" s="2">
        <v>3</v>
      </c>
      <c r="D10" s="6" t="s">
        <v>39</v>
      </c>
      <c r="E10" s="1" t="s">
        <v>44</v>
      </c>
      <c r="F10" s="2" t="s">
        <v>50</v>
      </c>
      <c r="G10" s="1" t="s">
        <v>40</v>
      </c>
      <c r="H10" s="1" t="s">
        <v>43</v>
      </c>
      <c r="I10" s="1" t="s">
        <v>40</v>
      </c>
      <c r="J10" s="2" t="s">
        <v>48</v>
      </c>
      <c r="K10" s="12" t="s">
        <v>41</v>
      </c>
      <c r="L10" s="2" t="s">
        <v>50</v>
      </c>
      <c r="M10" s="1" t="s">
        <v>43</v>
      </c>
      <c r="N10" s="1" t="s">
        <v>70</v>
      </c>
      <c r="O10" s="1" t="s">
        <v>43</v>
      </c>
      <c r="P10" s="1" t="s">
        <v>41</v>
      </c>
      <c r="Q10" s="1" t="s">
        <v>50</v>
      </c>
      <c r="R10" s="2" t="s">
        <v>48</v>
      </c>
      <c r="S10" s="1" t="s">
        <v>42</v>
      </c>
      <c r="T10" s="2" t="s">
        <v>50</v>
      </c>
      <c r="U10" s="2" t="s">
        <v>46</v>
      </c>
      <c r="V10" s="2" t="s">
        <v>50</v>
      </c>
      <c r="W10" s="2" t="s">
        <v>50</v>
      </c>
      <c r="X10" s="1" t="s">
        <v>46</v>
      </c>
      <c r="Y10" s="1" t="s">
        <v>40</v>
      </c>
      <c r="Z10" s="1" t="s">
        <v>42</v>
      </c>
      <c r="AA10" s="2" t="s">
        <v>50</v>
      </c>
      <c r="AB10" s="1" t="s">
        <v>42</v>
      </c>
      <c r="AC10" s="6" t="s">
        <v>44</v>
      </c>
      <c r="AD10" s="2" t="s">
        <v>48</v>
      </c>
      <c r="AE10" s="2" t="s">
        <v>80</v>
      </c>
      <c r="AF10" s="1" t="s">
        <v>42</v>
      </c>
      <c r="AG10" s="1" t="s">
        <v>42</v>
      </c>
      <c r="AH10" s="1" t="s">
        <v>40</v>
      </c>
      <c r="AI10" s="1" t="s">
        <v>41</v>
      </c>
      <c r="AJ10" s="2" t="s">
        <v>70</v>
      </c>
    </row>
    <row r="11" spans="1:36" x14ac:dyDescent="0.35">
      <c r="B11" s="23"/>
      <c r="C11" s="2">
        <v>4</v>
      </c>
      <c r="D11" s="1" t="s">
        <v>42</v>
      </c>
      <c r="E11" s="1" t="s">
        <v>47</v>
      </c>
      <c r="F11" s="2" t="s">
        <v>57</v>
      </c>
      <c r="G11" s="1" t="s">
        <v>41</v>
      </c>
      <c r="H11" s="2" t="s">
        <v>57</v>
      </c>
      <c r="I11" s="1" t="s">
        <v>41</v>
      </c>
      <c r="J11" s="1" t="s">
        <v>41</v>
      </c>
      <c r="K11" s="1" t="s">
        <v>40</v>
      </c>
      <c r="L11" s="1" t="s">
        <v>42</v>
      </c>
      <c r="M11" s="1" t="s">
        <v>46</v>
      </c>
      <c r="N11" s="1" t="s">
        <v>50</v>
      </c>
      <c r="O11" s="6" t="s">
        <v>42</v>
      </c>
      <c r="P11" s="1" t="s">
        <v>42</v>
      </c>
      <c r="Q11" s="2" t="s">
        <v>70</v>
      </c>
      <c r="R11" s="1" t="s">
        <v>43</v>
      </c>
      <c r="S11" s="1" t="s">
        <v>44</v>
      </c>
      <c r="T11" s="1" t="s">
        <v>41</v>
      </c>
      <c r="U11" s="2" t="s">
        <v>43</v>
      </c>
      <c r="V11" s="1" t="s">
        <v>43</v>
      </c>
      <c r="W11" s="1" t="s">
        <v>46</v>
      </c>
      <c r="X11" s="1" t="s">
        <v>44</v>
      </c>
      <c r="Y11" s="1" t="s">
        <v>49</v>
      </c>
      <c r="Z11" s="1" t="s">
        <v>38</v>
      </c>
      <c r="AA11" s="1" t="s">
        <v>39</v>
      </c>
      <c r="AB11" s="1" t="s">
        <v>43</v>
      </c>
      <c r="AC11" s="2" t="s">
        <v>70</v>
      </c>
      <c r="AD11" s="1" t="s">
        <v>52</v>
      </c>
      <c r="AE11" s="1" t="s">
        <v>84</v>
      </c>
      <c r="AF11" s="2" t="s">
        <v>43</v>
      </c>
      <c r="AG11" s="1" t="s">
        <v>50</v>
      </c>
      <c r="AH11" s="1" t="s">
        <v>41</v>
      </c>
      <c r="AI11" s="1" t="s">
        <v>52</v>
      </c>
      <c r="AJ11" s="12" t="s">
        <v>43</v>
      </c>
    </row>
    <row r="12" spans="1:36" x14ac:dyDescent="0.35">
      <c r="B12" s="23"/>
      <c r="C12" s="2">
        <v>5</v>
      </c>
      <c r="D12" s="1" t="s">
        <v>47</v>
      </c>
      <c r="E12" s="2" t="s">
        <v>50</v>
      </c>
      <c r="F12" s="1" t="s">
        <v>44</v>
      </c>
      <c r="G12" s="1" t="s">
        <v>42</v>
      </c>
      <c r="H12" s="1" t="s">
        <v>42</v>
      </c>
      <c r="I12" s="2" t="s">
        <v>86</v>
      </c>
      <c r="J12" s="1" t="s">
        <v>42</v>
      </c>
      <c r="K12" s="1" t="s">
        <v>46</v>
      </c>
      <c r="L12" s="2" t="s">
        <v>48</v>
      </c>
      <c r="M12" s="1" t="s">
        <v>42</v>
      </c>
      <c r="N12" s="1" t="s">
        <v>44</v>
      </c>
      <c r="O12" s="2" t="s">
        <v>50</v>
      </c>
      <c r="P12" s="1" t="s">
        <v>46</v>
      </c>
      <c r="Q12" s="1" t="s">
        <v>46</v>
      </c>
      <c r="R12" s="1" t="s">
        <v>42</v>
      </c>
      <c r="S12" s="1" t="s">
        <v>41</v>
      </c>
      <c r="T12" s="1" t="s">
        <v>42</v>
      </c>
      <c r="U12" s="1" t="s">
        <v>44</v>
      </c>
      <c r="V12" s="2" t="s">
        <v>70</v>
      </c>
      <c r="W12" s="2" t="s">
        <v>70</v>
      </c>
      <c r="X12" s="1" t="s">
        <v>42</v>
      </c>
      <c r="Y12" s="1" t="s">
        <v>44</v>
      </c>
      <c r="Z12" s="1" t="s">
        <v>41</v>
      </c>
      <c r="AA12" s="1" t="s">
        <v>42</v>
      </c>
      <c r="AB12" s="1" t="s">
        <v>47</v>
      </c>
      <c r="AC12" s="1" t="s">
        <v>42</v>
      </c>
      <c r="AD12" s="12" t="s">
        <v>43</v>
      </c>
      <c r="AE12" s="1" t="s">
        <v>49</v>
      </c>
      <c r="AF12" s="1" t="s">
        <v>60</v>
      </c>
      <c r="AG12" s="2" t="s">
        <v>53</v>
      </c>
      <c r="AH12" s="1" t="s">
        <v>46</v>
      </c>
      <c r="AI12" s="1" t="s">
        <v>39</v>
      </c>
      <c r="AJ12" s="1" t="s">
        <v>46</v>
      </c>
    </row>
    <row r="13" spans="1:36" x14ac:dyDescent="0.35">
      <c r="B13" s="23"/>
      <c r="C13" s="2">
        <v>6</v>
      </c>
      <c r="D13" s="1" t="s">
        <v>43</v>
      </c>
      <c r="E13" s="1" t="s">
        <v>41</v>
      </c>
      <c r="F13" s="1" t="s">
        <v>46</v>
      </c>
      <c r="G13" s="1" t="s">
        <v>43</v>
      </c>
      <c r="H13" s="1" t="s">
        <v>45</v>
      </c>
      <c r="I13" s="1" t="s">
        <v>46</v>
      </c>
      <c r="J13" s="2" t="s">
        <v>80</v>
      </c>
      <c r="K13" s="1" t="s">
        <v>44</v>
      </c>
      <c r="L13" s="1" t="s">
        <v>46</v>
      </c>
      <c r="M13" s="1" t="s">
        <v>47</v>
      </c>
      <c r="N13" s="1" t="s">
        <v>46</v>
      </c>
      <c r="O13" s="2" t="s">
        <v>80</v>
      </c>
      <c r="P13" s="1" t="s">
        <v>44</v>
      </c>
      <c r="Q13" s="1" t="s">
        <v>42</v>
      </c>
      <c r="R13" s="1" t="s">
        <v>46</v>
      </c>
      <c r="S13" s="2" t="s">
        <v>51</v>
      </c>
      <c r="T13" s="1" t="s">
        <v>44</v>
      </c>
      <c r="U13" s="1" t="s">
        <v>54</v>
      </c>
      <c r="V13" s="1" t="s">
        <v>54</v>
      </c>
      <c r="W13" s="1" t="s">
        <v>42</v>
      </c>
      <c r="X13" s="1" t="s">
        <v>43</v>
      </c>
      <c r="Y13" s="1" t="s">
        <v>41</v>
      </c>
      <c r="Z13" s="12" t="s">
        <v>43</v>
      </c>
      <c r="AA13" s="1" t="s">
        <v>44</v>
      </c>
      <c r="AB13" s="2" t="s">
        <v>61</v>
      </c>
      <c r="AC13" s="1" t="s">
        <v>43</v>
      </c>
      <c r="AD13" s="1" t="s">
        <v>47</v>
      </c>
      <c r="AE13" s="1" t="s">
        <v>41</v>
      </c>
      <c r="AF13" s="1" t="s">
        <v>61</v>
      </c>
      <c r="AG13" s="2" t="s">
        <v>80</v>
      </c>
      <c r="AH13" s="1" t="s">
        <v>43</v>
      </c>
      <c r="AI13" s="1" t="s">
        <v>44</v>
      </c>
      <c r="AJ13" s="1" t="s">
        <v>42</v>
      </c>
    </row>
    <row r="14" spans="1:36" x14ac:dyDescent="0.35">
      <c r="B14" s="23"/>
      <c r="C14" s="2">
        <v>7</v>
      </c>
      <c r="D14" s="1" t="s">
        <v>50</v>
      </c>
      <c r="E14" s="1" t="s">
        <v>42</v>
      </c>
      <c r="F14" s="1" t="s">
        <v>41</v>
      </c>
      <c r="G14" s="2" t="s">
        <v>70</v>
      </c>
      <c r="H14" s="1" t="s">
        <v>44</v>
      </c>
      <c r="I14" s="1" t="s">
        <v>44</v>
      </c>
      <c r="J14" s="1" t="s">
        <v>43</v>
      </c>
      <c r="K14" s="1" t="s">
        <v>42</v>
      </c>
      <c r="L14" s="2" t="s">
        <v>57</v>
      </c>
      <c r="M14" s="6" t="s">
        <v>39</v>
      </c>
      <c r="N14" s="2" t="s">
        <v>54</v>
      </c>
      <c r="O14" s="1" t="s">
        <v>79</v>
      </c>
      <c r="P14" s="1" t="s">
        <v>47</v>
      </c>
      <c r="Q14" s="2" t="s">
        <v>57</v>
      </c>
      <c r="R14" s="2" t="s">
        <v>51</v>
      </c>
      <c r="S14" s="1" t="s">
        <v>61</v>
      </c>
      <c r="T14" s="1" t="s">
        <v>43</v>
      </c>
      <c r="U14" s="1" t="s">
        <v>81</v>
      </c>
      <c r="V14" s="1" t="s">
        <v>44</v>
      </c>
      <c r="W14" s="1" t="s">
        <v>39</v>
      </c>
      <c r="X14" s="2" t="s">
        <v>70</v>
      </c>
      <c r="Y14" s="1" t="s">
        <v>42</v>
      </c>
      <c r="Z14" s="1" t="s">
        <v>44</v>
      </c>
      <c r="AA14" s="1" t="s">
        <v>47</v>
      </c>
      <c r="AB14" s="1" t="s">
        <v>46</v>
      </c>
      <c r="AC14" s="2" t="s">
        <v>57</v>
      </c>
      <c r="AD14" s="1" t="s">
        <v>42</v>
      </c>
      <c r="AE14" s="1" t="s">
        <v>42</v>
      </c>
      <c r="AF14" s="1" t="s">
        <v>47</v>
      </c>
      <c r="AG14" s="1" t="s">
        <v>46</v>
      </c>
      <c r="AH14" s="1" t="s">
        <v>44</v>
      </c>
      <c r="AI14" s="1" t="s">
        <v>42</v>
      </c>
      <c r="AJ14" s="1" t="s">
        <v>47</v>
      </c>
    </row>
    <row r="15" spans="1:36" x14ac:dyDescent="0.35">
      <c r="B15" s="23"/>
      <c r="C15" s="2">
        <v>8</v>
      </c>
      <c r="D15" s="2" t="s">
        <v>57</v>
      </c>
      <c r="E15" s="1" t="s">
        <v>46</v>
      </c>
      <c r="F15" s="2" t="s">
        <v>70</v>
      </c>
      <c r="G15" s="2" t="s">
        <v>57</v>
      </c>
      <c r="H15" s="1" t="s">
        <v>55</v>
      </c>
      <c r="I15" s="2" t="s">
        <v>57</v>
      </c>
      <c r="J15" s="1" t="s">
        <v>52</v>
      </c>
      <c r="K15" s="1" t="s">
        <v>43</v>
      </c>
      <c r="L15" s="1" t="s">
        <v>47</v>
      </c>
      <c r="M15" s="1" t="s">
        <v>44</v>
      </c>
      <c r="N15" s="1" t="s">
        <v>41</v>
      </c>
      <c r="O15" s="1" t="s">
        <v>48</v>
      </c>
      <c r="P15" s="2" t="s">
        <v>80</v>
      </c>
      <c r="Q15" s="1" t="s">
        <v>47</v>
      </c>
      <c r="R15" s="1" t="s">
        <v>60</v>
      </c>
      <c r="S15" s="2" t="s">
        <v>48</v>
      </c>
      <c r="T15" s="1" t="s">
        <v>46</v>
      </c>
      <c r="U15" s="1" t="s">
        <v>42</v>
      </c>
      <c r="V15" s="6" t="s">
        <v>42</v>
      </c>
      <c r="W15" s="6" t="s">
        <v>40</v>
      </c>
      <c r="X15" s="1" t="s">
        <v>40</v>
      </c>
      <c r="Y15" s="1" t="s">
        <v>46</v>
      </c>
      <c r="Z15" s="1" t="s">
        <v>47</v>
      </c>
      <c r="AA15" s="1" t="s">
        <v>43</v>
      </c>
      <c r="AB15" s="6" t="s">
        <v>44</v>
      </c>
      <c r="AC15" s="1" t="s">
        <v>47</v>
      </c>
      <c r="AD15" s="1" t="s">
        <v>51</v>
      </c>
      <c r="AE15" s="1" t="s">
        <v>50</v>
      </c>
      <c r="AF15" s="2" t="s">
        <v>70</v>
      </c>
      <c r="AG15" s="1" t="s">
        <v>47</v>
      </c>
      <c r="AH15" s="1" t="s">
        <v>47</v>
      </c>
      <c r="AI15" s="1" t="s">
        <v>47</v>
      </c>
      <c r="AJ15" s="1" t="s">
        <v>44</v>
      </c>
    </row>
    <row r="16" spans="1:36" x14ac:dyDescent="0.35">
      <c r="B16" s="23"/>
      <c r="C16" s="2">
        <v>9</v>
      </c>
      <c r="D16" s="1" t="s">
        <v>41</v>
      </c>
      <c r="E16" s="1" t="s">
        <v>43</v>
      </c>
      <c r="F16" s="1" t="s">
        <v>51</v>
      </c>
      <c r="G16" s="1" t="s">
        <v>46</v>
      </c>
      <c r="H16" s="1" t="s">
        <v>38</v>
      </c>
      <c r="I16" s="1" t="s">
        <v>43</v>
      </c>
      <c r="J16" s="1" t="s">
        <v>46</v>
      </c>
      <c r="K16" s="1" t="s">
        <v>50</v>
      </c>
      <c r="L16" s="1" t="s">
        <v>43</v>
      </c>
      <c r="M16" s="1" t="s">
        <v>40</v>
      </c>
      <c r="N16" s="1" t="s">
        <v>40</v>
      </c>
      <c r="O16" s="1" t="s">
        <v>55</v>
      </c>
      <c r="P16" s="1" t="s">
        <v>60</v>
      </c>
      <c r="Q16" s="1" t="s">
        <v>64</v>
      </c>
      <c r="R16" s="1" t="s">
        <v>44</v>
      </c>
      <c r="S16" s="1" t="s">
        <v>46</v>
      </c>
      <c r="T16" s="1" t="s">
        <v>57</v>
      </c>
      <c r="U16" s="1" t="s">
        <v>47</v>
      </c>
      <c r="V16" s="1" t="s">
        <v>64</v>
      </c>
      <c r="W16" s="1" t="s">
        <v>47</v>
      </c>
      <c r="X16" s="1" t="s">
        <v>47</v>
      </c>
      <c r="Y16" s="1" t="s">
        <v>43</v>
      </c>
      <c r="Z16" s="1" t="s">
        <v>46</v>
      </c>
      <c r="AA16" s="1" t="s">
        <v>46</v>
      </c>
      <c r="AB16" s="2" t="s">
        <v>86</v>
      </c>
      <c r="AC16" s="1" t="s">
        <v>50</v>
      </c>
      <c r="AD16" s="1" t="s">
        <v>44</v>
      </c>
      <c r="AE16" s="1" t="s">
        <v>58</v>
      </c>
      <c r="AF16" s="1" t="s">
        <v>44</v>
      </c>
      <c r="AG16" s="1" t="s">
        <v>52</v>
      </c>
      <c r="AH16" s="1" t="s">
        <v>64</v>
      </c>
      <c r="AI16" s="1" t="s">
        <v>43</v>
      </c>
      <c r="AJ16" s="1" t="s">
        <v>40</v>
      </c>
    </row>
    <row r="17" spans="1:42" x14ac:dyDescent="0.35">
      <c r="B17" s="23"/>
      <c r="C17" s="2">
        <v>10</v>
      </c>
      <c r="D17" s="1" t="s">
        <v>68</v>
      </c>
      <c r="E17" s="1" t="s">
        <v>55</v>
      </c>
      <c r="F17" s="1" t="s">
        <v>69</v>
      </c>
      <c r="G17" s="1" t="s">
        <v>47</v>
      </c>
      <c r="H17" s="1" t="s">
        <v>52</v>
      </c>
      <c r="I17" s="1" t="s">
        <v>50</v>
      </c>
      <c r="J17" s="1" t="s">
        <v>50</v>
      </c>
      <c r="K17" s="1" t="s">
        <v>47</v>
      </c>
      <c r="L17" s="1" t="s">
        <v>60</v>
      </c>
      <c r="M17" s="1" t="s">
        <v>65</v>
      </c>
      <c r="N17" s="1" t="s">
        <v>52</v>
      </c>
      <c r="O17" s="1" t="s">
        <v>49</v>
      </c>
      <c r="P17" s="1" t="s">
        <v>52</v>
      </c>
      <c r="Q17" s="1" t="s">
        <v>44</v>
      </c>
      <c r="R17" s="1" t="s">
        <v>55</v>
      </c>
      <c r="S17" s="1" t="s">
        <v>52</v>
      </c>
      <c r="T17" s="1" t="s">
        <v>47</v>
      </c>
      <c r="U17" s="1" t="s">
        <v>64</v>
      </c>
      <c r="V17" s="1" t="s">
        <v>40</v>
      </c>
      <c r="W17" s="1" t="s">
        <v>52</v>
      </c>
      <c r="X17" s="1" t="s">
        <v>50</v>
      </c>
      <c r="Y17" s="1" t="s">
        <v>52</v>
      </c>
      <c r="Z17" s="1" t="s">
        <v>60</v>
      </c>
      <c r="AA17" s="1" t="s">
        <v>52</v>
      </c>
      <c r="AB17" s="1" t="s">
        <v>51</v>
      </c>
      <c r="AC17" s="1" t="s">
        <v>46</v>
      </c>
      <c r="AD17" s="1" t="s">
        <v>49</v>
      </c>
      <c r="AE17" s="1" t="s">
        <v>44</v>
      </c>
      <c r="AF17" s="1" t="s">
        <v>62</v>
      </c>
      <c r="AG17" s="1" t="s">
        <v>44</v>
      </c>
      <c r="AH17" s="1" t="s">
        <v>60</v>
      </c>
      <c r="AI17" s="1" t="s">
        <v>46</v>
      </c>
      <c r="AJ17" s="1" t="s">
        <v>39</v>
      </c>
    </row>
    <row r="18" spans="1:42" x14ac:dyDescent="0.35">
      <c r="B18" s="23"/>
      <c r="C18" s="2">
        <v>11</v>
      </c>
      <c r="D18" s="1" t="s">
        <v>44</v>
      </c>
      <c r="E18" s="1" t="s">
        <v>53</v>
      </c>
      <c r="F18" s="1" t="s">
        <v>43</v>
      </c>
      <c r="G18" s="1" t="s">
        <v>48</v>
      </c>
      <c r="H18" s="1" t="s">
        <v>49</v>
      </c>
      <c r="I18" s="1" t="s">
        <v>47</v>
      </c>
      <c r="J18" s="1" t="s">
        <v>47</v>
      </c>
      <c r="K18" s="1" t="s">
        <v>64</v>
      </c>
      <c r="L18" s="1" t="s">
        <v>63</v>
      </c>
      <c r="M18" s="1" t="s">
        <v>69</v>
      </c>
      <c r="N18" s="1" t="s">
        <v>39</v>
      </c>
      <c r="O18" s="1" t="s">
        <v>44</v>
      </c>
      <c r="P18" s="1" t="s">
        <v>39</v>
      </c>
      <c r="Q18" s="1" t="s">
        <v>39</v>
      </c>
      <c r="R18" s="1" t="s">
        <v>47</v>
      </c>
      <c r="S18" s="1" t="s">
        <v>67</v>
      </c>
      <c r="T18" s="2" t="s">
        <v>80</v>
      </c>
      <c r="U18" s="6" t="s">
        <v>39</v>
      </c>
      <c r="V18" s="1" t="s">
        <v>39</v>
      </c>
      <c r="W18" s="1" t="s">
        <v>44</v>
      </c>
      <c r="X18" s="1" t="s">
        <v>52</v>
      </c>
      <c r="Y18" s="1" t="s">
        <v>57</v>
      </c>
      <c r="Z18" s="1" t="s">
        <v>57</v>
      </c>
      <c r="AA18" s="1" t="s">
        <v>70</v>
      </c>
      <c r="AB18" s="1" t="s">
        <v>74</v>
      </c>
      <c r="AC18" s="1" t="s">
        <v>52</v>
      </c>
      <c r="AD18" s="1" t="s">
        <v>39</v>
      </c>
      <c r="AE18" s="1" t="s">
        <v>85</v>
      </c>
      <c r="AF18" s="6" t="s">
        <v>40</v>
      </c>
      <c r="AG18" s="6" t="s">
        <v>40</v>
      </c>
      <c r="AH18" s="1" t="s">
        <v>58</v>
      </c>
      <c r="AI18" s="1" t="s">
        <v>50</v>
      </c>
      <c r="AJ18" s="1" t="s">
        <v>52</v>
      </c>
    </row>
    <row r="19" spans="1:42" x14ac:dyDescent="0.35">
      <c r="B19" s="23"/>
      <c r="C19" s="2">
        <v>12</v>
      </c>
      <c r="D19" s="1" t="s">
        <v>53</v>
      </c>
      <c r="E19" s="2" t="s">
        <v>80</v>
      </c>
      <c r="F19" s="1" t="s">
        <v>47</v>
      </c>
      <c r="G19" s="1" t="s">
        <v>62</v>
      </c>
      <c r="H19" s="6" t="s">
        <v>39</v>
      </c>
      <c r="I19" s="2" t="s">
        <v>62</v>
      </c>
      <c r="J19" s="1" t="s">
        <v>62</v>
      </c>
      <c r="K19" s="1" t="s">
        <v>69</v>
      </c>
      <c r="L19" s="1" t="s">
        <v>62</v>
      </c>
      <c r="M19" s="2" t="s">
        <v>53</v>
      </c>
      <c r="N19" s="1" t="s">
        <v>74</v>
      </c>
      <c r="O19" s="1" t="s">
        <v>40</v>
      </c>
      <c r="P19" s="1" t="s">
        <v>62</v>
      </c>
      <c r="Q19" s="1" t="s">
        <v>62</v>
      </c>
      <c r="R19" s="1" t="s">
        <v>53</v>
      </c>
      <c r="S19" s="1" t="s">
        <v>62</v>
      </c>
      <c r="T19" s="1" t="s">
        <v>62</v>
      </c>
      <c r="U19" s="1" t="s">
        <v>82</v>
      </c>
      <c r="V19" s="1" t="s">
        <v>62</v>
      </c>
      <c r="W19" s="1" t="s">
        <v>62</v>
      </c>
      <c r="X19" s="1" t="s">
        <v>49</v>
      </c>
      <c r="Y19" s="1" t="s">
        <v>50</v>
      </c>
      <c r="Z19" s="1" t="s">
        <v>74</v>
      </c>
      <c r="AA19" s="1" t="s">
        <v>53</v>
      </c>
      <c r="AB19" s="1" t="s">
        <v>39</v>
      </c>
      <c r="AC19" s="1" t="s">
        <v>62</v>
      </c>
      <c r="AD19" s="1" t="s">
        <v>38</v>
      </c>
      <c r="AE19" s="1" t="s">
        <v>64</v>
      </c>
      <c r="AF19" s="1" t="s">
        <v>64</v>
      </c>
      <c r="AG19" s="1" t="s">
        <v>39</v>
      </c>
      <c r="AH19" s="1" t="s">
        <v>52</v>
      </c>
      <c r="AI19" s="1" t="s">
        <v>62</v>
      </c>
      <c r="AJ19" s="1" t="s">
        <v>49</v>
      </c>
    </row>
    <row r="20" spans="1:42" x14ac:dyDescent="0.35">
      <c r="R20" s="7"/>
    </row>
    <row r="21" spans="1:42" x14ac:dyDescent="0.35">
      <c r="B21" s="22" t="s">
        <v>29</v>
      </c>
      <c r="C21" s="2">
        <v>13</v>
      </c>
      <c r="D21" s="1" t="s">
        <v>63</v>
      </c>
      <c r="E21" s="2" t="s">
        <v>57</v>
      </c>
      <c r="F21" s="1" t="s">
        <v>52</v>
      </c>
      <c r="G21" s="2" t="s">
        <v>86</v>
      </c>
      <c r="H21" s="2" t="s">
        <v>60</v>
      </c>
      <c r="I21" s="1" t="s">
        <v>70</v>
      </c>
      <c r="J21" s="2" t="s">
        <v>54</v>
      </c>
      <c r="K21" s="1" t="s">
        <v>52</v>
      </c>
      <c r="L21" s="1" t="s">
        <v>70</v>
      </c>
      <c r="M21" s="2" t="s">
        <v>54</v>
      </c>
      <c r="N21" s="1" t="s">
        <v>58</v>
      </c>
      <c r="O21" s="1" t="s">
        <v>47</v>
      </c>
      <c r="P21" s="2" t="s">
        <v>70</v>
      </c>
      <c r="Q21" s="2" t="s">
        <v>74</v>
      </c>
      <c r="R21" s="6" t="s">
        <v>39</v>
      </c>
      <c r="S21" s="1" t="s">
        <v>56</v>
      </c>
      <c r="T21" s="2" t="s">
        <v>70</v>
      </c>
      <c r="U21" s="2" t="s">
        <v>86</v>
      </c>
      <c r="V21" s="1" t="s">
        <v>65</v>
      </c>
      <c r="W21" s="2" t="s">
        <v>80</v>
      </c>
      <c r="X21" s="1" t="s">
        <v>62</v>
      </c>
      <c r="Y21" s="1" t="s">
        <v>60</v>
      </c>
      <c r="Z21" s="1" t="s">
        <v>70</v>
      </c>
      <c r="AA21" s="1" t="s">
        <v>68</v>
      </c>
      <c r="AB21" s="1" t="s">
        <v>59</v>
      </c>
      <c r="AC21" s="2" t="s">
        <v>56</v>
      </c>
      <c r="AD21" s="1" t="s">
        <v>58</v>
      </c>
      <c r="AE21" s="12" t="s">
        <v>39</v>
      </c>
      <c r="AF21" s="2" t="s">
        <v>48</v>
      </c>
      <c r="AG21" s="1" t="s">
        <v>58</v>
      </c>
      <c r="AH21" s="1" t="s">
        <v>50</v>
      </c>
      <c r="AI21" s="1" t="s">
        <v>68</v>
      </c>
      <c r="AJ21" s="1" t="s">
        <v>51</v>
      </c>
    </row>
    <row r="22" spans="1:42" x14ac:dyDescent="0.35">
      <c r="B22" s="22"/>
      <c r="C22" s="2">
        <v>14</v>
      </c>
      <c r="D22" s="1" t="s">
        <v>54</v>
      </c>
      <c r="E22" s="1" t="s">
        <v>52</v>
      </c>
      <c r="F22" s="2" t="s">
        <v>61</v>
      </c>
      <c r="G22" s="1" t="s">
        <v>51</v>
      </c>
      <c r="H22" s="1" t="s">
        <v>62</v>
      </c>
      <c r="I22" s="1" t="s">
        <v>64</v>
      </c>
      <c r="J22" s="1" t="s">
        <v>45</v>
      </c>
      <c r="K22" s="1" t="s">
        <v>60</v>
      </c>
      <c r="L22" s="1" t="s">
        <v>51</v>
      </c>
      <c r="M22" s="1" t="s">
        <v>60</v>
      </c>
      <c r="N22" s="1" t="s">
        <v>57</v>
      </c>
      <c r="O22" s="1" t="s">
        <v>51</v>
      </c>
      <c r="P22" s="2" t="s">
        <v>48</v>
      </c>
      <c r="Q22" s="1" t="s">
        <v>58</v>
      </c>
      <c r="R22" s="1" t="s">
        <v>45</v>
      </c>
      <c r="S22" s="1" t="s">
        <v>50</v>
      </c>
      <c r="T22" s="1" t="s">
        <v>60</v>
      </c>
      <c r="U22" s="2" t="s">
        <v>52</v>
      </c>
      <c r="V22" s="1" t="s">
        <v>47</v>
      </c>
      <c r="W22" s="1" t="s">
        <v>55</v>
      </c>
      <c r="X22" s="1" t="s">
        <v>71</v>
      </c>
      <c r="Y22" s="1" t="s">
        <v>70</v>
      </c>
      <c r="Z22" s="1" t="s">
        <v>50</v>
      </c>
      <c r="AA22" s="1" t="s">
        <v>66</v>
      </c>
      <c r="AB22" s="1" t="s">
        <v>60</v>
      </c>
      <c r="AC22" s="1" t="s">
        <v>79</v>
      </c>
      <c r="AD22" s="1" t="s">
        <v>46</v>
      </c>
      <c r="AE22" s="1" t="s">
        <v>46</v>
      </c>
      <c r="AF22" s="1" t="s">
        <v>46</v>
      </c>
      <c r="AG22" s="1" t="s">
        <v>65</v>
      </c>
      <c r="AH22" s="1" t="s">
        <v>54</v>
      </c>
      <c r="AI22" s="1" t="s">
        <v>58</v>
      </c>
      <c r="AJ22" s="1" t="s">
        <v>63</v>
      </c>
    </row>
    <row r="23" spans="1:42" x14ac:dyDescent="0.35">
      <c r="B23" s="22"/>
      <c r="C23" s="2">
        <v>15</v>
      </c>
      <c r="D23" s="2" t="s">
        <v>48</v>
      </c>
      <c r="E23" s="1" t="s">
        <v>45</v>
      </c>
      <c r="F23" s="1" t="s">
        <v>58</v>
      </c>
      <c r="G23" s="1" t="s">
        <v>52</v>
      </c>
      <c r="H23" s="1" t="s">
        <v>68</v>
      </c>
      <c r="I23" s="1" t="s">
        <v>75</v>
      </c>
      <c r="J23" s="1" t="s">
        <v>58</v>
      </c>
      <c r="K23" s="1" t="s">
        <v>45</v>
      </c>
      <c r="L23" s="1" t="s">
        <v>64</v>
      </c>
      <c r="M23" s="1" t="s">
        <v>52</v>
      </c>
      <c r="N23" s="2" t="s">
        <v>38</v>
      </c>
      <c r="O23" s="2" t="s">
        <v>68</v>
      </c>
      <c r="P23" s="1" t="s">
        <v>58</v>
      </c>
      <c r="Q23" s="1" t="s">
        <v>52</v>
      </c>
      <c r="R23" s="1" t="s">
        <v>68</v>
      </c>
      <c r="S23" s="12" t="s">
        <v>39</v>
      </c>
      <c r="T23" s="2" t="s">
        <v>51</v>
      </c>
      <c r="U23" s="1" t="s">
        <v>83</v>
      </c>
      <c r="V23" s="1" t="s">
        <v>83</v>
      </c>
      <c r="W23" s="1" t="s">
        <v>63</v>
      </c>
      <c r="X23" s="1" t="s">
        <v>55</v>
      </c>
      <c r="Y23" s="1" t="s">
        <v>47</v>
      </c>
      <c r="Z23" s="1" t="s">
        <v>63</v>
      </c>
      <c r="AA23" s="1" t="s">
        <v>58</v>
      </c>
      <c r="AB23" s="2" t="s">
        <v>38</v>
      </c>
      <c r="AC23" s="2" t="s">
        <v>86</v>
      </c>
      <c r="AD23" s="1" t="s">
        <v>57</v>
      </c>
      <c r="AE23" s="1" t="s">
        <v>52</v>
      </c>
      <c r="AF23" s="1" t="s">
        <v>57</v>
      </c>
      <c r="AG23" s="1" t="s">
        <v>66</v>
      </c>
      <c r="AH23" s="1" t="s">
        <v>68</v>
      </c>
      <c r="AI23" s="1" t="s">
        <v>66</v>
      </c>
      <c r="AJ23" s="1" t="s">
        <v>58</v>
      </c>
    </row>
    <row r="24" spans="1:42" x14ac:dyDescent="0.35">
      <c r="C24" t="s">
        <v>87</v>
      </c>
      <c r="D24" s="11" t="s">
        <v>6</v>
      </c>
      <c r="E24" s="11" t="s">
        <v>6</v>
      </c>
      <c r="F24" s="11" t="s">
        <v>6</v>
      </c>
      <c r="G24" s="11" t="s">
        <v>6</v>
      </c>
      <c r="H24" s="11" t="s">
        <v>91</v>
      </c>
      <c r="I24" s="11" t="s">
        <v>6</v>
      </c>
      <c r="J24" s="11" t="s">
        <v>6</v>
      </c>
      <c r="K24" s="11" t="s">
        <v>6</v>
      </c>
      <c r="L24" s="11" t="s">
        <v>6</v>
      </c>
      <c r="M24" s="11" t="s">
        <v>91</v>
      </c>
      <c r="N24" s="11" t="s">
        <v>91</v>
      </c>
      <c r="O24" s="11" t="s">
        <v>91</v>
      </c>
      <c r="P24" s="11" t="s">
        <v>91</v>
      </c>
      <c r="Q24" s="11" t="s">
        <v>91</v>
      </c>
      <c r="R24" s="11" t="s">
        <v>91</v>
      </c>
      <c r="S24" s="11" t="s">
        <v>91</v>
      </c>
      <c r="T24" s="11" t="s">
        <v>6</v>
      </c>
      <c r="U24" s="11" t="s">
        <v>91</v>
      </c>
      <c r="V24" s="11" t="s">
        <v>91</v>
      </c>
      <c r="W24" s="11" t="s">
        <v>91</v>
      </c>
      <c r="X24" s="11" t="s">
        <v>6</v>
      </c>
      <c r="Y24" s="11" t="s">
        <v>93</v>
      </c>
      <c r="Z24" s="11" t="s">
        <v>6</v>
      </c>
      <c r="AA24" s="11" t="s">
        <v>91</v>
      </c>
      <c r="AB24" s="11" t="s">
        <v>91</v>
      </c>
      <c r="AC24" s="11" t="s">
        <v>6</v>
      </c>
      <c r="AD24" s="11" t="s">
        <v>91</v>
      </c>
      <c r="AE24" s="11" t="s">
        <v>6</v>
      </c>
      <c r="AF24" s="11" t="s">
        <v>91</v>
      </c>
      <c r="AG24" s="11" t="s">
        <v>91</v>
      </c>
      <c r="AH24" s="11" t="s">
        <v>93</v>
      </c>
      <c r="AI24" s="11" t="s">
        <v>93</v>
      </c>
      <c r="AJ24" s="11" t="s">
        <v>91</v>
      </c>
    </row>
    <row r="25" spans="1:42" x14ac:dyDescent="0.35">
      <c r="C25" t="s">
        <v>88</v>
      </c>
      <c r="D25">
        <f>COUNTA(_xlfn.UNIQUE(D8:D23))-1</f>
        <v>15</v>
      </c>
      <c r="E25">
        <f t="shared" ref="E25:AJ25" si="0">COUNTA(_xlfn.UNIQUE(E8:E23))-1</f>
        <v>15</v>
      </c>
      <c r="F25">
        <f t="shared" si="0"/>
        <v>15</v>
      </c>
      <c r="G25">
        <f t="shared" si="0"/>
        <v>15</v>
      </c>
      <c r="H25">
        <f t="shared" si="0"/>
        <v>15</v>
      </c>
      <c r="I25">
        <f t="shared" si="0"/>
        <v>15</v>
      </c>
      <c r="J25">
        <f t="shared" si="0"/>
        <v>15</v>
      </c>
      <c r="K25">
        <f t="shared" si="0"/>
        <v>15</v>
      </c>
      <c r="L25">
        <f t="shared" si="0"/>
        <v>15</v>
      </c>
      <c r="M25">
        <f t="shared" si="0"/>
        <v>15</v>
      </c>
      <c r="N25">
        <f t="shared" si="0"/>
        <v>15</v>
      </c>
      <c r="O25">
        <f t="shared" si="0"/>
        <v>15</v>
      </c>
      <c r="P25">
        <f t="shared" si="0"/>
        <v>15</v>
      </c>
      <c r="Q25">
        <f t="shared" si="0"/>
        <v>15</v>
      </c>
      <c r="R25">
        <f t="shared" si="0"/>
        <v>15</v>
      </c>
      <c r="S25">
        <f t="shared" si="0"/>
        <v>15</v>
      </c>
      <c r="T25">
        <f t="shared" si="0"/>
        <v>15</v>
      </c>
      <c r="U25">
        <f t="shared" si="0"/>
        <v>15</v>
      </c>
      <c r="V25">
        <f t="shared" si="0"/>
        <v>15</v>
      </c>
      <c r="W25">
        <f t="shared" si="0"/>
        <v>15</v>
      </c>
      <c r="X25">
        <f t="shared" si="0"/>
        <v>15</v>
      </c>
      <c r="Y25">
        <f t="shared" si="0"/>
        <v>15</v>
      </c>
      <c r="Z25">
        <f t="shared" si="0"/>
        <v>15</v>
      </c>
      <c r="AA25">
        <f>COUNTA(_xlfn.UNIQUE(AA8:AA23))-1</f>
        <v>15</v>
      </c>
      <c r="AB25">
        <f t="shared" si="0"/>
        <v>15</v>
      </c>
      <c r="AC25">
        <f t="shared" si="0"/>
        <v>15</v>
      </c>
      <c r="AD25">
        <f t="shared" si="0"/>
        <v>15</v>
      </c>
      <c r="AE25">
        <f t="shared" si="0"/>
        <v>15</v>
      </c>
      <c r="AF25">
        <f t="shared" si="0"/>
        <v>15</v>
      </c>
      <c r="AG25">
        <f t="shared" si="0"/>
        <v>15</v>
      </c>
      <c r="AH25">
        <f t="shared" si="0"/>
        <v>15</v>
      </c>
      <c r="AI25">
        <f t="shared" si="0"/>
        <v>15</v>
      </c>
      <c r="AJ25">
        <f t="shared" si="0"/>
        <v>15</v>
      </c>
    </row>
    <row r="26" spans="1:42" x14ac:dyDescent="0.35">
      <c r="AL26" s="9" t="s">
        <v>99</v>
      </c>
      <c r="AM26" t="s">
        <v>101</v>
      </c>
      <c r="AO26" s="9" t="s">
        <v>100</v>
      </c>
      <c r="AP26" t="s">
        <v>101</v>
      </c>
    </row>
    <row r="27" spans="1:42" x14ac:dyDescent="0.35">
      <c r="A27">
        <v>1</v>
      </c>
      <c r="B27" t="s">
        <v>80</v>
      </c>
      <c r="C27" s="9" t="s">
        <v>94</v>
      </c>
      <c r="D27" cm="1">
        <f t="array" ref="D27">SUMPRODUCT(COUNTIF(D8:D19,$B$27:$B$38))</f>
        <v>7</v>
      </c>
      <c r="E27" cm="1">
        <f t="array" ref="E27">SUMPRODUCT(COUNTIF(E8:E19,$B$27:$B$38))</f>
        <v>7</v>
      </c>
      <c r="F27" cm="1">
        <f t="array" ref="F27">SUMPRODUCT(COUNTIF(F8:F19,$B$27:$B$38))</f>
        <v>8</v>
      </c>
      <c r="G27" cm="1">
        <f t="array" ref="G27">SUMPRODUCT(COUNTIF(G8:G19,$B$27:$B$38))</f>
        <v>9</v>
      </c>
      <c r="H27" cm="1">
        <f t="array" ref="H27">SUMPRODUCT(COUNTIF(H8:H19,$B$27:$B$38))</f>
        <v>5</v>
      </c>
      <c r="I27" cm="1">
        <f t="array" ref="I27">SUMPRODUCT(COUNTIF(I8:I19,$B$27:$B$38))</f>
        <v>7</v>
      </c>
      <c r="J27" cm="1">
        <f t="array" ref="J27">SUMPRODUCT(COUNTIF(J8:J19,$B$27:$B$38))</f>
        <v>9</v>
      </c>
      <c r="K27" cm="1">
        <f t="array" ref="K27">SUMPRODUCT(COUNTIF(K8:K19,$B$27:$B$38))</f>
        <v>6</v>
      </c>
      <c r="L27" cm="1">
        <f t="array" ref="L27">SUMPRODUCT(COUNTIF(L8:L19,$B$27:$B$38))</f>
        <v>8</v>
      </c>
      <c r="M27" cm="1">
        <f t="array" ref="M27">SUMPRODUCT(COUNTIF(M8:M19,$B$27:$B$38))</f>
        <v>5</v>
      </c>
      <c r="N27" cm="1">
        <f t="array" ref="N27">SUMPRODUCT(COUNTIF(N8:N19,$B$27:$B$38))</f>
        <v>6</v>
      </c>
      <c r="O27" cm="1">
        <f t="array" ref="O27">SUMPRODUCT(COUNTIF(O8:O19,$B$27:$B$38))</f>
        <v>7</v>
      </c>
      <c r="P27" cm="1">
        <f t="array" ref="P27">SUMPRODUCT(COUNTIF(P8:P19,$B$27:$B$38))</f>
        <v>7</v>
      </c>
      <c r="Q27" cm="1">
        <f t="array" ref="Q27">SUMPRODUCT(COUNTIF(Q8:Q19,$B$27:$B$38))</f>
        <v>8</v>
      </c>
      <c r="R27" cm="1">
        <f t="array" ref="R27">SUMPRODUCT(COUNTIF(R8:R19,$B$27:$B$38))</f>
        <v>7</v>
      </c>
      <c r="S27" cm="1">
        <f t="array" ref="S27">SUMPRODUCT(COUNTIF(S8:S19,$B$27:$B$38))</f>
        <v>7</v>
      </c>
      <c r="T27" cm="1">
        <f t="array" ref="T27">SUMPRODUCT(COUNTIF(T8:T19,$B$27:$B$38))</f>
        <v>9</v>
      </c>
      <c r="U27" cm="1">
        <f t="array" ref="U27">SUMPRODUCT(COUNTIF(U8:U19,$B$27:$B$38))</f>
        <v>6</v>
      </c>
      <c r="V27" cm="1">
        <f t="array" ref="V27">SUMPRODUCT(COUNTIF(V8:V19,$B$27:$B$38))</f>
        <v>7</v>
      </c>
      <c r="W27" cm="1">
        <f t="array" ref="W27">SUMPRODUCT(COUNTIF(W8:W19,$B$27:$B$38))</f>
        <v>7</v>
      </c>
      <c r="X27" cm="1">
        <f t="array" ref="X27">SUMPRODUCT(COUNTIF(X8:X19,$B$27:$B$38))</f>
        <v>6</v>
      </c>
      <c r="Y27" cm="1">
        <f t="array" ref="Y27">SUMPRODUCT(COUNTIF(Y8:Y19,$B$27:$B$38))</f>
        <v>6</v>
      </c>
      <c r="Z27" cm="1">
        <f t="array" ref="Z27">SUMPRODUCT(COUNTIF(Z8:Z19,$B$27:$B$38))</f>
        <v>7</v>
      </c>
      <c r="AA27" cm="1">
        <f t="array" ref="AA27">SUMPRODUCT(COUNTIF(AA8:AA19,$B$27:$B$38))</f>
        <v>6</v>
      </c>
      <c r="AB27" cm="1">
        <f t="array" ref="AB27">SUMPRODUCT(COUNTIF(AB8:AB19,$B$27:$B$38))</f>
        <v>6</v>
      </c>
      <c r="AC27" cm="1">
        <f t="array" ref="AC27">SUMPRODUCT(COUNTIF(AC8:AC19,$B$27:$B$38))</f>
        <v>9</v>
      </c>
      <c r="AD27" cm="1">
        <f t="array" ref="AD27">SUMPRODUCT(COUNTIF(AD8:AD19,$B$27:$B$38))</f>
        <v>6</v>
      </c>
      <c r="AE27" cm="1">
        <f t="array" ref="AE27">SUMPRODUCT(COUNTIF(AE8:AE19,$B$27:$B$38))</f>
        <v>5</v>
      </c>
      <c r="AF27" cm="1">
        <f t="array" ref="AF27">SUMPRODUCT(COUNTIF(AF8:AF19,$B$27:$B$38))</f>
        <v>6</v>
      </c>
      <c r="AG27" cm="1">
        <f t="array" ref="AG27">SUMPRODUCT(COUNTIF(AG8:AG19,$B$27:$B$38))</f>
        <v>6</v>
      </c>
      <c r="AH27" cm="1">
        <f t="array" ref="AH27">SUMPRODUCT(COUNTIF(AH8:AH19,$B$27:$B$38))</f>
        <v>3</v>
      </c>
      <c r="AI27" cm="1">
        <f t="array" ref="AI27">SUMPRODUCT(COUNTIF(AI8:AI19,$B$27:$B$38))</f>
        <v>6</v>
      </c>
      <c r="AJ27" cm="1">
        <f t="array" ref="AJ27">SUMPRODUCT(COUNTIF(AJ8:AJ19,$B$27:$B$38))</f>
        <v>6</v>
      </c>
      <c r="AL27" s="9">
        <f>MAX(D27:AJ27)</f>
        <v>9</v>
      </c>
      <c r="AM27">
        <f>COUNTIF(D27:AJ27,AL27)</f>
        <v>4</v>
      </c>
      <c r="AO27">
        <v>0</v>
      </c>
      <c r="AP27">
        <f>COUNTIF(D27:AJ27,0)</f>
        <v>0</v>
      </c>
    </row>
    <row r="28" spans="1:42" x14ac:dyDescent="0.35">
      <c r="A28">
        <v>2</v>
      </c>
      <c r="B28" t="s">
        <v>41</v>
      </c>
      <c r="C28" s="9" t="s">
        <v>95</v>
      </c>
      <c r="D28" cm="1">
        <f t="array" ref="D28">SUMPRODUCT(--(D8:D19=$B$27:$B$38))</f>
        <v>0</v>
      </c>
      <c r="E28" cm="1">
        <f t="array" ref="E28">SUMPRODUCT(--(E8:E19=$B$27:$B$38))</f>
        <v>0</v>
      </c>
      <c r="F28" cm="1">
        <f t="array" ref="F28">SUMPRODUCT(--(F8:F19=$B$27:$B$38))</f>
        <v>1</v>
      </c>
      <c r="G28" cm="1">
        <f t="array" ref="G28">SUMPRODUCT(--(G8:G19=$B$27:$B$38))</f>
        <v>1</v>
      </c>
      <c r="H28" cm="1">
        <f t="array" ref="H28">SUMPRODUCT(--(H8:H19=$B$27:$B$38))</f>
        <v>1</v>
      </c>
      <c r="I28" cm="1">
        <f t="array" ref="I28">SUMPRODUCT(--(I8:I19=$B$27:$B$38))</f>
        <v>1</v>
      </c>
      <c r="J28" cm="1">
        <f t="array" ref="J28">SUMPRODUCT(--(J8:J19=$B$27:$B$38))</f>
        <v>2</v>
      </c>
      <c r="K28" cm="1">
        <f t="array" ref="K28">SUMPRODUCT(--(K8:K19=$B$27:$B$38))</f>
        <v>0</v>
      </c>
      <c r="L28" cm="1">
        <f t="array" ref="L28">SUMPRODUCT(--(L8:L19=$B$27:$B$38))</f>
        <v>1</v>
      </c>
      <c r="M28" cm="1">
        <f t="array" ref="M28">SUMPRODUCT(--(M8:M19=$B$27:$B$38))</f>
        <v>0</v>
      </c>
      <c r="N28" cm="1">
        <f t="array" ref="N28">SUMPRODUCT(--(N8:N19=$B$27:$B$38))</f>
        <v>0</v>
      </c>
      <c r="O28" cm="1">
        <f t="array" ref="O28">SUMPRODUCT(--(O8:O19=$B$27:$B$38))</f>
        <v>0</v>
      </c>
      <c r="P28" cm="1">
        <f t="array" ref="P28">SUMPRODUCT(--(P8:P19=$B$27:$B$38))</f>
        <v>0</v>
      </c>
      <c r="Q28" cm="1">
        <f t="array" ref="Q28">SUMPRODUCT(--(Q8:Q19=$B$27:$B$38))</f>
        <v>0</v>
      </c>
      <c r="R28" cm="1">
        <f t="array" ref="R28">SUMPRODUCT(--(R8:R19=$B$27:$B$38))</f>
        <v>0</v>
      </c>
      <c r="S28" cm="1">
        <f t="array" ref="S28">SUMPRODUCT(--(S8:S19=$B$27:$B$38))</f>
        <v>2</v>
      </c>
      <c r="T28" cm="1">
        <f t="array" ref="T28">SUMPRODUCT(--(T8:T19=$B$27:$B$38))</f>
        <v>0</v>
      </c>
      <c r="U28" cm="1">
        <f t="array" ref="U28">SUMPRODUCT(--(U8:U19=$B$27:$B$38))</f>
        <v>1</v>
      </c>
      <c r="V28" cm="1">
        <f t="array" ref="V28">SUMPRODUCT(--(V8:V19=$B$27:$B$38))</f>
        <v>0</v>
      </c>
      <c r="W28" cm="1">
        <f t="array" ref="W28">SUMPRODUCT(--(W8:W19=$B$27:$B$38))</f>
        <v>0</v>
      </c>
      <c r="X28" cm="1">
        <f t="array" ref="X28">SUMPRODUCT(--(X8:X19=$B$27:$B$38))</f>
        <v>2</v>
      </c>
      <c r="Y28" cm="1">
        <f t="array" ref="Y28">SUMPRODUCT(--(Y8:Y19=$B$27:$B$38))</f>
        <v>0</v>
      </c>
      <c r="Z28" cm="1">
        <f t="array" ref="Z28">SUMPRODUCT(--(Z8:Z19=$B$27:$B$38))</f>
        <v>2</v>
      </c>
      <c r="AA28" cm="1">
        <f t="array" ref="AA28">SUMPRODUCT(--(AA8:AA19=$B$27:$B$38))</f>
        <v>1</v>
      </c>
      <c r="AB28" cm="1">
        <f t="array" ref="AB28">SUMPRODUCT(--(AB8:AB19=$B$27:$B$38))</f>
        <v>1</v>
      </c>
      <c r="AC28" cm="1">
        <f t="array" ref="AC28">SUMPRODUCT(--(AC8:AC19=$B$27:$B$38))</f>
        <v>0</v>
      </c>
      <c r="AD28" cm="1">
        <f t="array" ref="AD28">SUMPRODUCT(--(AD8:AD19=$B$27:$B$38))</f>
        <v>2</v>
      </c>
      <c r="AE28" cm="1">
        <f t="array" ref="AE28">SUMPRODUCT(--(AE8:AE19=$B$27:$B$38))</f>
        <v>0</v>
      </c>
      <c r="AF28" cm="1">
        <f t="array" ref="AF28">SUMPRODUCT(--(AF8:AF19=$B$27:$B$38))</f>
        <v>2</v>
      </c>
      <c r="AG28" cm="1">
        <f t="array" ref="AG28">SUMPRODUCT(--(AG8:AG19=$B$27:$B$38))</f>
        <v>1</v>
      </c>
      <c r="AH28" cm="1">
        <f t="array" ref="AH28">SUMPRODUCT(--(AH8:AH19=$B$27:$B$38))</f>
        <v>0</v>
      </c>
      <c r="AI28" cm="1">
        <f t="array" ref="AI28">SUMPRODUCT(--(AI8:AI19=$B$27:$B$38))</f>
        <v>0</v>
      </c>
      <c r="AJ28" cm="1">
        <f t="array" ref="AJ28">SUMPRODUCT(--(AJ8:AJ19=$B$27:$B$38))</f>
        <v>1</v>
      </c>
      <c r="AL28" s="9">
        <f>MAX(D28:AJ28)</f>
        <v>2</v>
      </c>
      <c r="AM28">
        <f>COUNTIF(D28:AJ28,AL28)</f>
        <v>6</v>
      </c>
      <c r="AO28">
        <v>0</v>
      </c>
      <c r="AP28">
        <f>COUNTIF(D28:AJ28,0)</f>
        <v>17</v>
      </c>
    </row>
    <row r="29" spans="1:42" x14ac:dyDescent="0.35">
      <c r="A29">
        <v>3</v>
      </c>
      <c r="B29" t="s">
        <v>42</v>
      </c>
      <c r="C29" s="9" t="s">
        <v>96</v>
      </c>
    </row>
    <row r="30" spans="1:42" x14ac:dyDescent="0.35">
      <c r="A30">
        <v>4</v>
      </c>
      <c r="B30" t="s">
        <v>57</v>
      </c>
      <c r="C30" s="13" t="s">
        <v>97</v>
      </c>
      <c r="D30" s="14">
        <f>D27+D28+D29</f>
        <v>7</v>
      </c>
      <c r="E30" s="14">
        <f t="shared" ref="E30:AJ30" si="1">E27+E28+E29</f>
        <v>7</v>
      </c>
      <c r="F30" s="14">
        <f t="shared" si="1"/>
        <v>9</v>
      </c>
      <c r="G30" s="14">
        <f t="shared" si="1"/>
        <v>10</v>
      </c>
      <c r="H30" s="14">
        <f t="shared" si="1"/>
        <v>6</v>
      </c>
      <c r="I30" s="14">
        <f t="shared" si="1"/>
        <v>8</v>
      </c>
      <c r="J30" s="14">
        <f t="shared" si="1"/>
        <v>11</v>
      </c>
      <c r="K30" s="14">
        <f t="shared" si="1"/>
        <v>6</v>
      </c>
      <c r="L30" s="14">
        <f t="shared" si="1"/>
        <v>9</v>
      </c>
      <c r="M30" s="14">
        <f t="shared" si="1"/>
        <v>5</v>
      </c>
      <c r="N30" s="14">
        <f t="shared" si="1"/>
        <v>6</v>
      </c>
      <c r="O30" s="14">
        <f t="shared" si="1"/>
        <v>7</v>
      </c>
      <c r="P30" s="14">
        <f t="shared" si="1"/>
        <v>7</v>
      </c>
      <c r="Q30" s="14">
        <f t="shared" si="1"/>
        <v>8</v>
      </c>
      <c r="R30" s="14">
        <f t="shared" si="1"/>
        <v>7</v>
      </c>
      <c r="S30" s="14">
        <f t="shared" si="1"/>
        <v>9</v>
      </c>
      <c r="T30" s="14">
        <f t="shared" si="1"/>
        <v>9</v>
      </c>
      <c r="U30" s="14">
        <f t="shared" si="1"/>
        <v>7</v>
      </c>
      <c r="V30" s="14">
        <f t="shared" si="1"/>
        <v>7</v>
      </c>
      <c r="W30" s="14">
        <f t="shared" si="1"/>
        <v>7</v>
      </c>
      <c r="X30" s="14">
        <f t="shared" si="1"/>
        <v>8</v>
      </c>
      <c r="Y30" s="14">
        <f t="shared" si="1"/>
        <v>6</v>
      </c>
      <c r="Z30" s="14">
        <f t="shared" si="1"/>
        <v>9</v>
      </c>
      <c r="AA30" s="14">
        <f t="shared" si="1"/>
        <v>7</v>
      </c>
      <c r="AB30" s="14">
        <f t="shared" si="1"/>
        <v>7</v>
      </c>
      <c r="AC30" s="14">
        <f t="shared" si="1"/>
        <v>9</v>
      </c>
      <c r="AD30" s="14">
        <f t="shared" si="1"/>
        <v>8</v>
      </c>
      <c r="AE30" s="14">
        <f t="shared" si="1"/>
        <v>5</v>
      </c>
      <c r="AF30" s="14">
        <f t="shared" si="1"/>
        <v>8</v>
      </c>
      <c r="AG30" s="14">
        <f t="shared" si="1"/>
        <v>7</v>
      </c>
      <c r="AH30" s="14">
        <f t="shared" si="1"/>
        <v>3</v>
      </c>
      <c r="AI30" s="14">
        <f t="shared" si="1"/>
        <v>6</v>
      </c>
      <c r="AJ30" s="14">
        <f t="shared" si="1"/>
        <v>7</v>
      </c>
    </row>
    <row r="31" spans="1:42" x14ac:dyDescent="0.35">
      <c r="A31">
        <v>5</v>
      </c>
      <c r="B31" t="s">
        <v>43</v>
      </c>
    </row>
    <row r="32" spans="1:42" x14ac:dyDescent="0.35">
      <c r="A32">
        <v>6</v>
      </c>
      <c r="B32" t="s">
        <v>70</v>
      </c>
    </row>
    <row r="33" spans="1:8" x14ac:dyDescent="0.35">
      <c r="A33">
        <v>7</v>
      </c>
      <c r="B33" t="s">
        <v>48</v>
      </c>
    </row>
    <row r="34" spans="1:8" x14ac:dyDescent="0.35">
      <c r="A34">
        <v>8</v>
      </c>
      <c r="B34" t="s">
        <v>51</v>
      </c>
    </row>
    <row r="35" spans="1:8" x14ac:dyDescent="0.35">
      <c r="A35">
        <v>9</v>
      </c>
      <c r="B35" t="s">
        <v>46</v>
      </c>
    </row>
    <row r="36" spans="1:8" x14ac:dyDescent="0.35">
      <c r="A36">
        <v>10</v>
      </c>
      <c r="B36" t="s">
        <v>50</v>
      </c>
      <c r="D36" s="15"/>
    </row>
    <row r="37" spans="1:8" x14ac:dyDescent="0.35">
      <c r="A37">
        <v>11</v>
      </c>
      <c r="B37" t="s">
        <v>62</v>
      </c>
      <c r="E37" s="3" t="s">
        <v>1</v>
      </c>
      <c r="F37" s="3" t="s">
        <v>98</v>
      </c>
      <c r="H37" t="s">
        <v>96</v>
      </c>
    </row>
    <row r="38" spans="1:8" x14ac:dyDescent="0.35">
      <c r="A38">
        <v>12</v>
      </c>
      <c r="B38" t="s">
        <v>82</v>
      </c>
      <c r="E38" s="6" t="str" cm="1">
        <f t="array" ref="E38:E70">_xlfn.SORTBY(A41:A73,B41:B73,-1, A41:A73, 1)</f>
        <v>Conor Miller</v>
      </c>
      <c r="F38" s="6">
        <f t="shared" ref="F38:F70" si="2">VLOOKUP(E38,$A$41:$B$73,2,FALSE)</f>
        <v>11</v>
      </c>
      <c r="H38" t="s">
        <v>39</v>
      </c>
    </row>
    <row r="39" spans="1:8" x14ac:dyDescent="0.35">
      <c r="E39" s="1" t="str">
        <v>Matt Silano</v>
      </c>
      <c r="F39" s="1">
        <f t="shared" si="2"/>
        <v>10</v>
      </c>
      <c r="H39" t="s">
        <v>39</v>
      </c>
    </row>
    <row r="40" spans="1:8" x14ac:dyDescent="0.35">
      <c r="A40" t="s">
        <v>1</v>
      </c>
      <c r="B40" t="s">
        <v>98</v>
      </c>
      <c r="E40" s="1" t="str">
        <v>Abrar Jalal</v>
      </c>
      <c r="F40" s="1">
        <f t="shared" si="2"/>
        <v>9</v>
      </c>
      <c r="H40" t="s">
        <v>41</v>
      </c>
    </row>
    <row r="41" spans="1:8" x14ac:dyDescent="0.35">
      <c r="A41" t="str" cm="1">
        <f t="array" ref="A41:A73">TRANSPOSE(D6:AJ6)</f>
        <v>Tyler Farr</v>
      </c>
      <c r="B41" cm="1">
        <f t="array" ref="B41:B73">TRANSPOSE(D30:AJ30)</f>
        <v>7</v>
      </c>
      <c r="E41" s="1" t="str">
        <v>Bridget Farr</v>
      </c>
      <c r="F41" s="1">
        <f t="shared" si="2"/>
        <v>9</v>
      </c>
      <c r="H41" t="s">
        <v>39</v>
      </c>
    </row>
    <row r="42" spans="1:8" x14ac:dyDescent="0.35">
      <c r="A42" t="str">
        <v>Rob Farr</v>
      </c>
      <c r="B42">
        <v>7</v>
      </c>
      <c r="E42" s="1" t="str">
        <v>George Lesher</v>
      </c>
      <c r="F42" s="1">
        <f t="shared" si="2"/>
        <v>9</v>
      </c>
    </row>
    <row r="43" spans="1:8" x14ac:dyDescent="0.35">
      <c r="A43" t="str">
        <v>Bridget Farr</v>
      </c>
      <c r="B43">
        <v>9</v>
      </c>
      <c r="E43" s="1" t="str">
        <v>Grayson Cantor</v>
      </c>
      <c r="F43" s="1">
        <f t="shared" si="2"/>
        <v>9</v>
      </c>
    </row>
    <row r="44" spans="1:8" x14ac:dyDescent="0.35">
      <c r="A44" t="str">
        <v>Matt Silano</v>
      </c>
      <c r="B44">
        <v>10</v>
      </c>
      <c r="E44" s="1" t="str">
        <v>Kush Patel</v>
      </c>
      <c r="F44" s="1">
        <f t="shared" si="2"/>
        <v>9</v>
      </c>
      <c r="H44" t="s">
        <v>43</v>
      </c>
    </row>
    <row r="45" spans="1:8" x14ac:dyDescent="0.35">
      <c r="A45" t="str">
        <v>Adam Mrozowski</v>
      </c>
      <c r="B45">
        <v>6</v>
      </c>
      <c r="E45" s="1" t="str">
        <v>Nick Wieber</v>
      </c>
      <c r="F45" s="1">
        <f t="shared" si="2"/>
        <v>9</v>
      </c>
      <c r="H45" t="s">
        <v>44</v>
      </c>
    </row>
    <row r="46" spans="1:8" x14ac:dyDescent="0.35">
      <c r="A46" t="str">
        <v>Matt Little</v>
      </c>
      <c r="B46">
        <v>8</v>
      </c>
      <c r="E46" s="1" t="str">
        <v>Braden Stesiak</v>
      </c>
      <c r="F46" s="1">
        <f t="shared" si="2"/>
        <v>8</v>
      </c>
    </row>
    <row r="47" spans="1:8" x14ac:dyDescent="0.35">
      <c r="A47" t="str">
        <v>Conor Miller</v>
      </c>
      <c r="B47">
        <v>11</v>
      </c>
      <c r="E47" s="1" t="str">
        <v>Drew Ronk</v>
      </c>
      <c r="F47" s="1">
        <f t="shared" si="2"/>
        <v>8</v>
      </c>
    </row>
    <row r="48" spans="1:8" x14ac:dyDescent="0.35">
      <c r="A48" t="str">
        <v>Danny Ta</v>
      </c>
      <c r="B48">
        <v>6</v>
      </c>
      <c r="E48" s="1" t="str">
        <v>John Bullard</v>
      </c>
      <c r="F48" s="1">
        <f t="shared" si="2"/>
        <v>8</v>
      </c>
    </row>
    <row r="49" spans="1:6" x14ac:dyDescent="0.35">
      <c r="A49" t="str">
        <v>Abrar Jalal</v>
      </c>
      <c r="B49">
        <v>9</v>
      </c>
      <c r="E49" s="1" t="str">
        <v>Matt Little</v>
      </c>
      <c r="F49" s="1">
        <f t="shared" si="2"/>
        <v>8</v>
      </c>
    </row>
    <row r="50" spans="1:6" x14ac:dyDescent="0.35">
      <c r="A50" t="str">
        <v>Adam Poleski</v>
      </c>
      <c r="B50">
        <v>5</v>
      </c>
      <c r="E50" s="1" t="str">
        <v>Sunny Mistry</v>
      </c>
      <c r="F50" s="1">
        <f t="shared" si="2"/>
        <v>8</v>
      </c>
    </row>
    <row r="51" spans="1:6" x14ac:dyDescent="0.35">
      <c r="A51" t="str">
        <v>Keaton Moorhead</v>
      </c>
      <c r="B51">
        <v>6</v>
      </c>
      <c r="E51" s="1" t="str">
        <v>Andy Chapman</v>
      </c>
      <c r="F51" s="1">
        <f t="shared" si="2"/>
        <v>7</v>
      </c>
    </row>
    <row r="52" spans="1:6" x14ac:dyDescent="0.35">
      <c r="A52" t="str">
        <v>Andy Chapman</v>
      </c>
      <c r="B52">
        <v>7</v>
      </c>
      <c r="E52" s="1" t="str">
        <v>Derek Heid</v>
      </c>
      <c r="F52" s="1">
        <f t="shared" si="2"/>
        <v>7</v>
      </c>
    </row>
    <row r="53" spans="1:6" x14ac:dyDescent="0.35">
      <c r="A53" t="str">
        <v>Derek Heid</v>
      </c>
      <c r="B53">
        <v>7</v>
      </c>
      <c r="E53" s="1" t="str">
        <v>Ethan Iatesta</v>
      </c>
      <c r="F53" s="1">
        <f t="shared" si="2"/>
        <v>7</v>
      </c>
    </row>
    <row r="54" spans="1:6" x14ac:dyDescent="0.35">
      <c r="A54" t="str">
        <v>Drew Ronk</v>
      </c>
      <c r="B54">
        <v>8</v>
      </c>
      <c r="E54" s="1" t="str">
        <v>Garrett Ley</v>
      </c>
      <c r="F54" s="1">
        <f t="shared" si="2"/>
        <v>7</v>
      </c>
    </row>
    <row r="55" spans="1:6" x14ac:dyDescent="0.35">
      <c r="A55" t="str">
        <v>Ethan Iatesta</v>
      </c>
      <c r="B55">
        <v>7</v>
      </c>
      <c r="E55" s="1" t="str">
        <v>Ian Polidora</v>
      </c>
      <c r="F55" s="1">
        <f t="shared" si="2"/>
        <v>7</v>
      </c>
    </row>
    <row r="56" spans="1:6" x14ac:dyDescent="0.35">
      <c r="A56" t="str">
        <v>George Lesher</v>
      </c>
      <c r="B56">
        <v>9</v>
      </c>
      <c r="E56" s="1" t="str">
        <v>Ian's Dad</v>
      </c>
      <c r="F56" s="1">
        <f t="shared" si="2"/>
        <v>7</v>
      </c>
    </row>
    <row r="57" spans="1:6" x14ac:dyDescent="0.35">
      <c r="A57" t="str">
        <v>Grayson Cantor</v>
      </c>
      <c r="B57">
        <v>9</v>
      </c>
      <c r="E57" s="1" t="str">
        <v>Isaac Freeman</v>
      </c>
      <c r="F57" s="1">
        <f t="shared" si="2"/>
        <v>7</v>
      </c>
    </row>
    <row r="58" spans="1:6" x14ac:dyDescent="0.35">
      <c r="A58" t="str">
        <v>Ian Polidora</v>
      </c>
      <c r="B58">
        <v>7</v>
      </c>
      <c r="E58" s="1" t="str">
        <v>Kyle Carson</v>
      </c>
      <c r="F58" s="1">
        <f t="shared" si="2"/>
        <v>7</v>
      </c>
    </row>
    <row r="59" spans="1:6" x14ac:dyDescent="0.35">
      <c r="A59" t="str">
        <v>Ian's Dad</v>
      </c>
      <c r="B59">
        <v>7</v>
      </c>
      <c r="E59" s="1" t="str">
        <v>Matt Barrett</v>
      </c>
      <c r="F59" s="1">
        <f t="shared" si="2"/>
        <v>7</v>
      </c>
    </row>
    <row r="60" spans="1:6" x14ac:dyDescent="0.35">
      <c r="A60" t="str">
        <v>Isaac Freeman</v>
      </c>
      <c r="B60">
        <v>7</v>
      </c>
      <c r="E60" s="1" t="str">
        <v>Nick Ulven</v>
      </c>
      <c r="F60" s="1">
        <f t="shared" si="2"/>
        <v>7</v>
      </c>
    </row>
    <row r="61" spans="1:6" x14ac:dyDescent="0.35">
      <c r="A61" t="str">
        <v>John Bullard</v>
      </c>
      <c r="B61">
        <v>8</v>
      </c>
      <c r="E61" s="1" t="str">
        <v>Rob Farr</v>
      </c>
      <c r="F61" s="1">
        <f t="shared" si="2"/>
        <v>7</v>
      </c>
    </row>
    <row r="62" spans="1:6" x14ac:dyDescent="0.35">
      <c r="A62" t="str">
        <v>Justin Kaufman</v>
      </c>
      <c r="B62">
        <v>6</v>
      </c>
      <c r="E62" s="1" t="str">
        <v>Tyler Farr</v>
      </c>
      <c r="F62" s="1">
        <f t="shared" si="2"/>
        <v>7</v>
      </c>
    </row>
    <row r="63" spans="1:6" x14ac:dyDescent="0.35">
      <c r="A63" t="str">
        <v>Kush Patel</v>
      </c>
      <c r="B63">
        <v>9</v>
      </c>
      <c r="E63" s="1" t="str">
        <v>Adam Mrozowski</v>
      </c>
      <c r="F63" s="1">
        <f t="shared" si="2"/>
        <v>6</v>
      </c>
    </row>
    <row r="64" spans="1:6" x14ac:dyDescent="0.35">
      <c r="A64" t="str">
        <v>Kyle Carson</v>
      </c>
      <c r="B64">
        <v>7</v>
      </c>
      <c r="E64" s="1" t="str">
        <v>Danny Ta</v>
      </c>
      <c r="F64" s="1">
        <f t="shared" si="2"/>
        <v>6</v>
      </c>
    </row>
    <row r="65" spans="1:6" x14ac:dyDescent="0.35">
      <c r="A65" t="str">
        <v>Matt Barrett</v>
      </c>
      <c r="B65">
        <v>7</v>
      </c>
      <c r="E65" s="1" t="str">
        <v>Ethan Miller</v>
      </c>
      <c r="F65" s="1">
        <f t="shared" si="2"/>
        <v>6</v>
      </c>
    </row>
    <row r="66" spans="1:6" x14ac:dyDescent="0.35">
      <c r="A66" t="str">
        <v>Nick Wieber</v>
      </c>
      <c r="B66">
        <v>9</v>
      </c>
      <c r="E66" s="1" t="str">
        <v>Justin Kaufman</v>
      </c>
      <c r="F66" s="1">
        <f t="shared" si="2"/>
        <v>6</v>
      </c>
    </row>
    <row r="67" spans="1:6" x14ac:dyDescent="0.35">
      <c r="A67" t="str">
        <v>Sunny Mistry</v>
      </c>
      <c r="B67">
        <v>8</v>
      </c>
      <c r="E67" s="1" t="str">
        <v>Keaton Moorhead</v>
      </c>
      <c r="F67" s="1">
        <f t="shared" si="2"/>
        <v>6</v>
      </c>
    </row>
    <row r="68" spans="1:6" x14ac:dyDescent="0.35">
      <c r="A68" t="str">
        <v>TJ Schaeffer</v>
      </c>
      <c r="B68">
        <v>5</v>
      </c>
      <c r="E68" s="1" t="str">
        <v>Adam Poleski</v>
      </c>
      <c r="F68" s="1">
        <f t="shared" si="2"/>
        <v>5</v>
      </c>
    </row>
    <row r="69" spans="1:6" x14ac:dyDescent="0.35">
      <c r="A69" t="str">
        <v>Braden Stesiak</v>
      </c>
      <c r="B69">
        <v>8</v>
      </c>
      <c r="E69" s="1" t="str">
        <v>TJ Schaeffer</v>
      </c>
      <c r="F69" s="1">
        <f t="shared" si="2"/>
        <v>5</v>
      </c>
    </row>
    <row r="70" spans="1:6" x14ac:dyDescent="0.35">
      <c r="A70" t="str">
        <v>Garrett Ley</v>
      </c>
      <c r="B70">
        <v>7</v>
      </c>
      <c r="E70" s="1" t="str">
        <v>Ryan Miller</v>
      </c>
      <c r="F70" s="1">
        <f t="shared" si="2"/>
        <v>3</v>
      </c>
    </row>
    <row r="71" spans="1:6" x14ac:dyDescent="0.35">
      <c r="A71" t="str">
        <v>Ryan Miller</v>
      </c>
      <c r="B71">
        <v>3</v>
      </c>
    </row>
    <row r="72" spans="1:6" x14ac:dyDescent="0.35">
      <c r="A72" t="str">
        <v>Ethan Miller</v>
      </c>
      <c r="B72">
        <v>6</v>
      </c>
    </row>
    <row r="73" spans="1:6" x14ac:dyDescent="0.35">
      <c r="A73" t="str">
        <v>Nick Ulven</v>
      </c>
      <c r="B73">
        <v>7</v>
      </c>
    </row>
  </sheetData>
  <mergeCells count="2">
    <mergeCell ref="B21:B23"/>
    <mergeCell ref="B8:B19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20DA9-8AE0-4326-9CF9-4603FC3B637D}">
  <dimension ref="C3:T399"/>
  <sheetViews>
    <sheetView showGridLines="0" tabSelected="1" zoomScale="90" zoomScaleNormal="90" workbookViewId="0"/>
  </sheetViews>
  <sheetFormatPr defaultRowHeight="14.5" x14ac:dyDescent="0.35"/>
  <cols>
    <col min="10" max="10" width="12.453125" bestFit="1" customWidth="1"/>
    <col min="11" max="11" width="12.7265625" bestFit="1" customWidth="1"/>
    <col min="13" max="13" width="19.453125" bestFit="1" customWidth="1"/>
    <col min="14" max="14" width="9.08984375" bestFit="1" customWidth="1"/>
    <col min="15" max="15" width="5.7265625" style="19" bestFit="1" customWidth="1"/>
    <col min="16" max="16" width="5.7265625" bestFit="1" customWidth="1"/>
    <col min="17" max="17" width="3.08984375" bestFit="1" customWidth="1"/>
    <col min="18" max="18" width="5.6328125" bestFit="1" customWidth="1"/>
    <col min="19" max="19" width="4.1796875" bestFit="1" customWidth="1"/>
    <col min="20" max="20" width="10.36328125" bestFit="1" customWidth="1"/>
  </cols>
  <sheetData>
    <row r="3" spans="3:20" x14ac:dyDescent="0.35">
      <c r="C3" t="s">
        <v>109</v>
      </c>
      <c r="D3" t="s">
        <v>110</v>
      </c>
      <c r="F3" t="s">
        <v>102</v>
      </c>
      <c r="G3" t="s">
        <v>111</v>
      </c>
    </row>
    <row r="4" spans="3:20" x14ac:dyDescent="0.35">
      <c r="C4" t="s">
        <v>70</v>
      </c>
      <c r="D4" t="s">
        <v>103</v>
      </c>
      <c r="F4" t="s">
        <v>70</v>
      </c>
      <c r="G4" t="str">
        <f>VLOOKUP(F4,$C$4:$D$42,2,FALSE)</f>
        <v>SEC</v>
      </c>
      <c r="T4" t="s">
        <v>134</v>
      </c>
    </row>
    <row r="5" spans="3:20" x14ac:dyDescent="0.35">
      <c r="C5" t="s">
        <v>46</v>
      </c>
      <c r="D5" t="s">
        <v>103</v>
      </c>
      <c r="F5" t="s">
        <v>46</v>
      </c>
      <c r="G5" t="str">
        <f t="shared" ref="G5:G68" si="0">VLOOKUP(F5,$C$4:$D$42,2,FALSE)</f>
        <v>SEC</v>
      </c>
      <c r="T5" t="s">
        <v>116</v>
      </c>
    </row>
    <row r="6" spans="3:20" x14ac:dyDescent="0.35">
      <c r="C6" t="s">
        <v>39</v>
      </c>
      <c r="D6" t="s">
        <v>104</v>
      </c>
      <c r="F6" t="s">
        <v>39</v>
      </c>
      <c r="G6" t="str">
        <f t="shared" si="0"/>
        <v>BIG10</v>
      </c>
      <c r="J6" s="16" t="s">
        <v>113</v>
      </c>
      <c r="K6" t="s">
        <v>114</v>
      </c>
      <c r="M6" s="16" t="s">
        <v>115</v>
      </c>
      <c r="N6" t="s">
        <v>101</v>
      </c>
      <c r="T6" t="s">
        <v>117</v>
      </c>
    </row>
    <row r="7" spans="3:20" x14ac:dyDescent="0.35">
      <c r="C7" t="s">
        <v>42</v>
      </c>
      <c r="D7" t="s">
        <v>103</v>
      </c>
      <c r="F7" t="s">
        <v>42</v>
      </c>
      <c r="G7" t="str">
        <f t="shared" si="0"/>
        <v>SEC</v>
      </c>
      <c r="J7" s="17" t="s">
        <v>103</v>
      </c>
      <c r="K7">
        <v>11</v>
      </c>
      <c r="M7" s="17" t="s">
        <v>103</v>
      </c>
      <c r="N7">
        <v>144</v>
      </c>
    </row>
    <row r="8" spans="3:20" x14ac:dyDescent="0.35">
      <c r="C8" t="s">
        <v>47</v>
      </c>
      <c r="D8" t="s">
        <v>103</v>
      </c>
      <c r="F8" t="s">
        <v>47</v>
      </c>
      <c r="G8" t="str">
        <f t="shared" si="0"/>
        <v>SEC</v>
      </c>
      <c r="J8" s="17" t="s">
        <v>106</v>
      </c>
      <c r="K8">
        <v>8</v>
      </c>
      <c r="M8" s="20" t="s">
        <v>42</v>
      </c>
      <c r="N8" s="21">
        <v>32</v>
      </c>
      <c r="O8" s="19">
        <f>N8/33</f>
        <v>0.96969696969696972</v>
      </c>
      <c r="T8" t="s">
        <v>118</v>
      </c>
    </row>
    <row r="9" spans="3:20" x14ac:dyDescent="0.35">
      <c r="C9" t="s">
        <v>43</v>
      </c>
      <c r="D9" t="s">
        <v>104</v>
      </c>
      <c r="F9" t="s">
        <v>43</v>
      </c>
      <c r="G9" t="str">
        <f t="shared" si="0"/>
        <v>BIG10</v>
      </c>
      <c r="J9" s="17" t="s">
        <v>104</v>
      </c>
      <c r="K9">
        <v>7</v>
      </c>
      <c r="M9" s="20" t="s">
        <v>46</v>
      </c>
      <c r="N9" s="21">
        <v>29</v>
      </c>
      <c r="O9" s="19">
        <f t="shared" ref="O9:O18" si="1">N9/33</f>
        <v>0.87878787878787878</v>
      </c>
    </row>
    <row r="10" spans="3:20" x14ac:dyDescent="0.35">
      <c r="C10" t="s">
        <v>50</v>
      </c>
      <c r="D10" t="s">
        <v>105</v>
      </c>
      <c r="F10" t="s">
        <v>50</v>
      </c>
      <c r="G10" t="str">
        <f t="shared" si="0"/>
        <v>ACC</v>
      </c>
      <c r="J10" s="17" t="s">
        <v>108</v>
      </c>
      <c r="K10">
        <v>7</v>
      </c>
      <c r="M10" s="18" t="s">
        <v>47</v>
      </c>
      <c r="N10">
        <v>26</v>
      </c>
      <c r="O10" s="19">
        <f t="shared" si="1"/>
        <v>0.78787878787878785</v>
      </c>
    </row>
    <row r="11" spans="3:20" x14ac:dyDescent="0.35">
      <c r="C11" t="s">
        <v>57</v>
      </c>
      <c r="D11" t="s">
        <v>106</v>
      </c>
      <c r="F11" t="s">
        <v>57</v>
      </c>
      <c r="G11" t="str">
        <f t="shared" si="0"/>
        <v>BIG12</v>
      </c>
      <c r="J11" s="17" t="s">
        <v>105</v>
      </c>
      <c r="K11">
        <v>5</v>
      </c>
      <c r="M11" s="18" t="s">
        <v>40</v>
      </c>
      <c r="N11">
        <v>19</v>
      </c>
      <c r="O11" s="19">
        <f t="shared" si="1"/>
        <v>0.5757575757575758</v>
      </c>
      <c r="T11" t="s">
        <v>119</v>
      </c>
    </row>
    <row r="12" spans="3:20" x14ac:dyDescent="0.35">
      <c r="C12" t="s">
        <v>41</v>
      </c>
      <c r="D12" t="s">
        <v>104</v>
      </c>
      <c r="F12" t="s">
        <v>41</v>
      </c>
      <c r="G12" t="str">
        <f t="shared" si="0"/>
        <v>BIG10</v>
      </c>
      <c r="J12" s="17" t="s">
        <v>107</v>
      </c>
      <c r="K12">
        <v>1</v>
      </c>
      <c r="M12" s="20" t="s">
        <v>70</v>
      </c>
      <c r="N12" s="21">
        <v>14</v>
      </c>
      <c r="O12" s="19">
        <f t="shared" si="1"/>
        <v>0.42424242424242425</v>
      </c>
    </row>
    <row r="13" spans="3:20" x14ac:dyDescent="0.35">
      <c r="C13" t="s">
        <v>68</v>
      </c>
      <c r="D13" t="s">
        <v>104</v>
      </c>
      <c r="F13" t="s">
        <v>68</v>
      </c>
      <c r="G13" t="str">
        <f t="shared" si="0"/>
        <v>BIG10</v>
      </c>
      <c r="J13" s="17" t="s">
        <v>112</v>
      </c>
      <c r="K13">
        <v>39</v>
      </c>
      <c r="M13" s="20" t="s">
        <v>48</v>
      </c>
      <c r="N13" s="21">
        <v>10</v>
      </c>
      <c r="O13" s="19">
        <f t="shared" si="1"/>
        <v>0.30303030303030304</v>
      </c>
    </row>
    <row r="14" spans="3:20" x14ac:dyDescent="0.35">
      <c r="C14" t="s">
        <v>44</v>
      </c>
      <c r="D14" t="s">
        <v>107</v>
      </c>
      <c r="F14" t="s">
        <v>44</v>
      </c>
      <c r="G14" t="str">
        <f t="shared" si="0"/>
        <v>Indep</v>
      </c>
      <c r="M14" s="20" t="s">
        <v>51</v>
      </c>
      <c r="N14" s="21">
        <v>6</v>
      </c>
      <c r="O14" s="19">
        <f t="shared" si="1"/>
        <v>0.18181818181818182</v>
      </c>
      <c r="T14" t="s">
        <v>120</v>
      </c>
    </row>
    <row r="15" spans="3:20" x14ac:dyDescent="0.35">
      <c r="C15" t="s">
        <v>53</v>
      </c>
      <c r="D15" t="s">
        <v>108</v>
      </c>
      <c r="F15" t="s">
        <v>53</v>
      </c>
      <c r="G15" t="str">
        <f t="shared" si="0"/>
        <v>G5</v>
      </c>
      <c r="M15" s="18" t="s">
        <v>54</v>
      </c>
      <c r="N15">
        <v>4</v>
      </c>
      <c r="O15" s="19">
        <f t="shared" si="1"/>
        <v>0.12121212121212122</v>
      </c>
    </row>
    <row r="16" spans="3:20" x14ac:dyDescent="0.35">
      <c r="C16" t="s">
        <v>55</v>
      </c>
      <c r="D16" t="s">
        <v>106</v>
      </c>
      <c r="F16" t="s">
        <v>39</v>
      </c>
      <c r="G16" t="str">
        <f t="shared" si="0"/>
        <v>BIG10</v>
      </c>
      <c r="M16" s="18" t="s">
        <v>58</v>
      </c>
      <c r="N16">
        <v>2</v>
      </c>
      <c r="O16" s="19">
        <f t="shared" si="1"/>
        <v>6.0606060606060608E-2</v>
      </c>
    </row>
    <row r="17" spans="3:15" x14ac:dyDescent="0.35">
      <c r="C17" t="s">
        <v>80</v>
      </c>
      <c r="D17" t="s">
        <v>104</v>
      </c>
      <c r="F17" t="s">
        <v>70</v>
      </c>
      <c r="G17" t="str">
        <f t="shared" si="0"/>
        <v>SEC</v>
      </c>
      <c r="M17" s="18" t="s">
        <v>63</v>
      </c>
      <c r="N17">
        <v>1</v>
      </c>
      <c r="O17" s="19">
        <f t="shared" si="1"/>
        <v>3.0303030303030304E-2</v>
      </c>
    </row>
    <row r="18" spans="3:15" x14ac:dyDescent="0.35">
      <c r="C18" t="s">
        <v>51</v>
      </c>
      <c r="D18" t="s">
        <v>103</v>
      </c>
      <c r="F18" t="s">
        <v>44</v>
      </c>
      <c r="G18" t="str">
        <f t="shared" si="0"/>
        <v>Indep</v>
      </c>
      <c r="M18" s="18" t="s">
        <v>79</v>
      </c>
      <c r="N18">
        <v>1</v>
      </c>
      <c r="O18" s="19">
        <f t="shared" si="1"/>
        <v>3.0303030303030304E-2</v>
      </c>
    </row>
    <row r="19" spans="3:15" x14ac:dyDescent="0.35">
      <c r="C19" t="s">
        <v>69</v>
      </c>
      <c r="D19" t="s">
        <v>108</v>
      </c>
      <c r="F19" t="s">
        <v>47</v>
      </c>
      <c r="G19" t="str">
        <f t="shared" si="0"/>
        <v>SEC</v>
      </c>
      <c r="M19" s="17" t="s">
        <v>104</v>
      </c>
      <c r="N19">
        <v>104</v>
      </c>
    </row>
    <row r="20" spans="3:15" x14ac:dyDescent="0.35">
      <c r="C20" t="s">
        <v>40</v>
      </c>
      <c r="D20" t="s">
        <v>103</v>
      </c>
      <c r="F20" t="s">
        <v>50</v>
      </c>
      <c r="G20" t="str">
        <f t="shared" si="0"/>
        <v>ACC</v>
      </c>
      <c r="M20" s="20" t="s">
        <v>43</v>
      </c>
      <c r="N20" s="21">
        <v>33</v>
      </c>
      <c r="O20" s="19">
        <f>N20/33</f>
        <v>1</v>
      </c>
    </row>
    <row r="21" spans="3:15" x14ac:dyDescent="0.35">
      <c r="C21" t="s">
        <v>48</v>
      </c>
      <c r="D21" t="s">
        <v>103</v>
      </c>
      <c r="F21" t="s">
        <v>41</v>
      </c>
      <c r="G21" t="str">
        <f t="shared" si="0"/>
        <v>BIG10</v>
      </c>
      <c r="M21" s="20" t="s">
        <v>41</v>
      </c>
      <c r="N21" s="21">
        <v>33</v>
      </c>
      <c r="O21" s="19">
        <f t="shared" ref="O21:O51" si="2">N21/33</f>
        <v>1</v>
      </c>
    </row>
    <row r="22" spans="3:15" x14ac:dyDescent="0.35">
      <c r="C22" t="s">
        <v>62</v>
      </c>
      <c r="D22" t="s">
        <v>108</v>
      </c>
      <c r="F22" t="s">
        <v>42</v>
      </c>
      <c r="G22" t="str">
        <f t="shared" si="0"/>
        <v>SEC</v>
      </c>
      <c r="M22" s="18" t="s">
        <v>39</v>
      </c>
      <c r="N22">
        <v>23</v>
      </c>
      <c r="O22" s="19">
        <f t="shared" si="2"/>
        <v>0.69696969696969702</v>
      </c>
    </row>
    <row r="23" spans="3:15" x14ac:dyDescent="0.35">
      <c r="C23" t="s">
        <v>45</v>
      </c>
      <c r="D23" t="s">
        <v>106</v>
      </c>
      <c r="F23" t="s">
        <v>46</v>
      </c>
      <c r="G23" t="str">
        <f t="shared" si="0"/>
        <v>SEC</v>
      </c>
      <c r="M23" s="20" t="s">
        <v>80</v>
      </c>
      <c r="N23" s="21">
        <v>7</v>
      </c>
      <c r="O23" s="19">
        <f t="shared" si="2"/>
        <v>0.21212121212121213</v>
      </c>
    </row>
    <row r="24" spans="3:15" x14ac:dyDescent="0.35">
      <c r="C24" t="s">
        <v>38</v>
      </c>
      <c r="D24" t="s">
        <v>105</v>
      </c>
      <c r="F24" t="s">
        <v>43</v>
      </c>
      <c r="G24" t="str">
        <f t="shared" si="0"/>
        <v>BIG10</v>
      </c>
      <c r="M24" s="18" t="s">
        <v>60</v>
      </c>
      <c r="N24">
        <v>6</v>
      </c>
      <c r="O24" s="19">
        <f t="shared" si="2"/>
        <v>0.18181818181818182</v>
      </c>
    </row>
    <row r="25" spans="3:15" x14ac:dyDescent="0.35">
      <c r="C25" t="s">
        <v>52</v>
      </c>
      <c r="D25" t="s">
        <v>106</v>
      </c>
      <c r="F25" t="s">
        <v>55</v>
      </c>
      <c r="G25" t="str">
        <f t="shared" si="0"/>
        <v>BIG12</v>
      </c>
      <c r="M25" s="18" t="s">
        <v>81</v>
      </c>
      <c r="N25">
        <v>1</v>
      </c>
      <c r="O25" s="19">
        <f t="shared" si="2"/>
        <v>3.0303030303030304E-2</v>
      </c>
    </row>
    <row r="26" spans="3:15" x14ac:dyDescent="0.35">
      <c r="C26" t="s">
        <v>49</v>
      </c>
      <c r="D26" t="s">
        <v>108</v>
      </c>
      <c r="F26" t="s">
        <v>53</v>
      </c>
      <c r="G26" t="str">
        <f t="shared" si="0"/>
        <v>G5</v>
      </c>
      <c r="M26" s="18" t="s">
        <v>68</v>
      </c>
      <c r="N26">
        <v>1</v>
      </c>
      <c r="O26" s="19">
        <f t="shared" si="2"/>
        <v>3.0303030303030304E-2</v>
      </c>
    </row>
    <row r="27" spans="3:15" x14ac:dyDescent="0.35">
      <c r="C27" t="s">
        <v>86</v>
      </c>
      <c r="D27" t="s">
        <v>105</v>
      </c>
      <c r="F27" t="s">
        <v>80</v>
      </c>
      <c r="G27" t="str">
        <f t="shared" si="0"/>
        <v>BIG10</v>
      </c>
      <c r="M27" s="17" t="s">
        <v>106</v>
      </c>
      <c r="N27">
        <v>44</v>
      </c>
    </row>
    <row r="28" spans="3:15" x14ac:dyDescent="0.35">
      <c r="C28" t="s">
        <v>90</v>
      </c>
      <c r="D28" t="s">
        <v>105</v>
      </c>
      <c r="F28" t="s">
        <v>42</v>
      </c>
      <c r="G28" t="str">
        <f t="shared" si="0"/>
        <v>SEC</v>
      </c>
      <c r="M28" s="18" t="s">
        <v>52</v>
      </c>
      <c r="N28">
        <v>15</v>
      </c>
      <c r="O28" s="19">
        <f t="shared" si="2"/>
        <v>0.45454545454545453</v>
      </c>
    </row>
    <row r="29" spans="3:15" x14ac:dyDescent="0.35">
      <c r="C29" t="s">
        <v>64</v>
      </c>
      <c r="D29" t="s">
        <v>106</v>
      </c>
      <c r="F29" t="s">
        <v>39</v>
      </c>
      <c r="G29" t="str">
        <f t="shared" si="0"/>
        <v>BIG10</v>
      </c>
      <c r="M29" s="20" t="s">
        <v>57</v>
      </c>
      <c r="N29" s="21">
        <v>12</v>
      </c>
      <c r="O29" s="19">
        <f t="shared" si="2"/>
        <v>0.36363636363636365</v>
      </c>
    </row>
    <row r="30" spans="3:15" x14ac:dyDescent="0.35">
      <c r="C30" t="s">
        <v>60</v>
      </c>
      <c r="D30" t="s">
        <v>104</v>
      </c>
      <c r="F30" t="s">
        <v>50</v>
      </c>
      <c r="G30" t="str">
        <f t="shared" si="0"/>
        <v>ACC</v>
      </c>
      <c r="M30" s="18" t="s">
        <v>64</v>
      </c>
      <c r="N30">
        <v>7</v>
      </c>
      <c r="O30" s="19">
        <f t="shared" si="2"/>
        <v>0.21212121212121213</v>
      </c>
    </row>
    <row r="31" spans="3:15" x14ac:dyDescent="0.35">
      <c r="C31" t="s">
        <v>63</v>
      </c>
      <c r="D31" t="s">
        <v>103</v>
      </c>
      <c r="F31" t="s">
        <v>57</v>
      </c>
      <c r="G31" t="str">
        <f t="shared" si="0"/>
        <v>BIG12</v>
      </c>
      <c r="M31" s="18" t="s">
        <v>55</v>
      </c>
      <c r="N31">
        <v>4</v>
      </c>
      <c r="O31" s="19">
        <f t="shared" si="2"/>
        <v>0.12121212121212122</v>
      </c>
    </row>
    <row r="32" spans="3:15" x14ac:dyDescent="0.35">
      <c r="C32" t="s">
        <v>65</v>
      </c>
      <c r="D32" t="s">
        <v>106</v>
      </c>
      <c r="F32" t="s">
        <v>44</v>
      </c>
      <c r="G32" t="str">
        <f t="shared" si="0"/>
        <v>Indep</v>
      </c>
      <c r="M32" s="18" t="s">
        <v>61</v>
      </c>
      <c r="N32">
        <v>3</v>
      </c>
      <c r="O32" s="19">
        <f t="shared" si="2"/>
        <v>9.0909090909090912E-2</v>
      </c>
    </row>
    <row r="33" spans="3:15" x14ac:dyDescent="0.35">
      <c r="C33" t="s">
        <v>54</v>
      </c>
      <c r="D33" t="s">
        <v>103</v>
      </c>
      <c r="F33" t="s">
        <v>46</v>
      </c>
      <c r="G33" t="str">
        <f t="shared" si="0"/>
        <v>SEC</v>
      </c>
      <c r="M33" s="18" t="s">
        <v>65</v>
      </c>
      <c r="N33">
        <v>1</v>
      </c>
      <c r="O33" s="19">
        <f t="shared" si="2"/>
        <v>3.0303030303030304E-2</v>
      </c>
    </row>
    <row r="34" spans="3:15" x14ac:dyDescent="0.35">
      <c r="C34" t="s">
        <v>74</v>
      </c>
      <c r="D34" t="s">
        <v>108</v>
      </c>
      <c r="F34" t="s">
        <v>41</v>
      </c>
      <c r="G34" t="str">
        <f t="shared" si="0"/>
        <v>BIG10</v>
      </c>
      <c r="M34" s="18" t="s">
        <v>84</v>
      </c>
      <c r="N34">
        <v>1</v>
      </c>
      <c r="O34" s="19">
        <f t="shared" si="2"/>
        <v>3.0303030303030304E-2</v>
      </c>
    </row>
    <row r="35" spans="3:15" x14ac:dyDescent="0.35">
      <c r="C35" t="s">
        <v>79</v>
      </c>
      <c r="D35" t="s">
        <v>103</v>
      </c>
      <c r="F35" t="s">
        <v>70</v>
      </c>
      <c r="G35" t="str">
        <f t="shared" si="0"/>
        <v>SEC</v>
      </c>
      <c r="M35" s="18" t="s">
        <v>45</v>
      </c>
      <c r="N35">
        <v>1</v>
      </c>
      <c r="O35" s="19">
        <f t="shared" si="2"/>
        <v>3.0303030303030304E-2</v>
      </c>
    </row>
    <row r="36" spans="3:15" x14ac:dyDescent="0.35">
      <c r="C36" t="s">
        <v>61</v>
      </c>
      <c r="D36" t="s">
        <v>106</v>
      </c>
      <c r="F36" t="s">
        <v>51</v>
      </c>
      <c r="G36" t="str">
        <f t="shared" si="0"/>
        <v>SEC</v>
      </c>
      <c r="M36" s="17" t="s">
        <v>105</v>
      </c>
      <c r="N36">
        <v>40</v>
      </c>
    </row>
    <row r="37" spans="3:15" x14ac:dyDescent="0.35">
      <c r="C37" t="s">
        <v>67</v>
      </c>
      <c r="D37" t="s">
        <v>105</v>
      </c>
      <c r="F37" t="s">
        <v>69</v>
      </c>
      <c r="G37" t="str">
        <f t="shared" si="0"/>
        <v>G5</v>
      </c>
      <c r="M37" s="20" t="s">
        <v>50</v>
      </c>
      <c r="N37" s="21">
        <v>30</v>
      </c>
      <c r="O37" s="19">
        <f t="shared" si="2"/>
        <v>0.90909090909090906</v>
      </c>
    </row>
    <row r="38" spans="3:15" x14ac:dyDescent="0.35">
      <c r="C38" t="s">
        <v>81</v>
      </c>
      <c r="D38" t="s">
        <v>104</v>
      </c>
      <c r="F38" t="s">
        <v>43</v>
      </c>
      <c r="G38" t="str">
        <f t="shared" si="0"/>
        <v>BIG10</v>
      </c>
      <c r="M38" s="18" t="s">
        <v>38</v>
      </c>
      <c r="N38">
        <v>6</v>
      </c>
      <c r="O38" s="19">
        <f t="shared" si="2"/>
        <v>0.18181818181818182</v>
      </c>
    </row>
    <row r="39" spans="3:15" x14ac:dyDescent="0.35">
      <c r="C39" t="s">
        <v>82</v>
      </c>
      <c r="D39" t="s">
        <v>108</v>
      </c>
      <c r="F39" t="s">
        <v>47</v>
      </c>
      <c r="G39" t="str">
        <f t="shared" si="0"/>
        <v>SEC</v>
      </c>
      <c r="M39" s="18" t="s">
        <v>86</v>
      </c>
      <c r="N39">
        <v>2</v>
      </c>
      <c r="O39" s="19">
        <f t="shared" si="2"/>
        <v>6.0606060606060608E-2</v>
      </c>
    </row>
    <row r="40" spans="3:15" x14ac:dyDescent="0.35">
      <c r="C40" t="s">
        <v>84</v>
      </c>
      <c r="D40" t="s">
        <v>106</v>
      </c>
      <c r="F40" t="s">
        <v>50</v>
      </c>
      <c r="G40" t="str">
        <f t="shared" si="0"/>
        <v>ACC</v>
      </c>
      <c r="M40" s="18" t="s">
        <v>90</v>
      </c>
      <c r="N40">
        <v>1</v>
      </c>
      <c r="O40" s="19">
        <f t="shared" si="2"/>
        <v>3.0303030303030304E-2</v>
      </c>
    </row>
    <row r="41" spans="3:15" x14ac:dyDescent="0.35">
      <c r="C41" t="s">
        <v>58</v>
      </c>
      <c r="D41" t="s">
        <v>103</v>
      </c>
      <c r="F41" t="s">
        <v>39</v>
      </c>
      <c r="G41" t="str">
        <f t="shared" si="0"/>
        <v>BIG10</v>
      </c>
      <c r="M41" s="18" t="s">
        <v>67</v>
      </c>
      <c r="N41">
        <v>1</v>
      </c>
      <c r="O41" s="19">
        <f t="shared" si="2"/>
        <v>3.0303030303030304E-2</v>
      </c>
    </row>
    <row r="42" spans="3:15" x14ac:dyDescent="0.35">
      <c r="C42" t="s">
        <v>85</v>
      </c>
      <c r="D42" t="s">
        <v>108</v>
      </c>
      <c r="F42" t="s">
        <v>40</v>
      </c>
      <c r="G42" t="str">
        <f t="shared" si="0"/>
        <v>SEC</v>
      </c>
      <c r="M42" s="17" t="s">
        <v>108</v>
      </c>
      <c r="N42">
        <v>34</v>
      </c>
    </row>
    <row r="43" spans="3:15" x14ac:dyDescent="0.35">
      <c r="F43" t="s">
        <v>41</v>
      </c>
      <c r="G43" t="str">
        <f t="shared" si="0"/>
        <v>BIG10</v>
      </c>
      <c r="M43" s="20" t="s">
        <v>62</v>
      </c>
      <c r="N43" s="21">
        <v>13</v>
      </c>
      <c r="O43" s="19">
        <f t="shared" si="2"/>
        <v>0.39393939393939392</v>
      </c>
    </row>
    <row r="44" spans="3:15" x14ac:dyDescent="0.35">
      <c r="F44" t="s">
        <v>42</v>
      </c>
      <c r="G44" t="str">
        <f t="shared" si="0"/>
        <v>SEC</v>
      </c>
      <c r="M44" s="18" t="s">
        <v>49</v>
      </c>
      <c r="N44">
        <v>7</v>
      </c>
      <c r="O44" s="19">
        <f t="shared" si="2"/>
        <v>0.21212121212121213</v>
      </c>
    </row>
    <row r="45" spans="3:15" x14ac:dyDescent="0.35">
      <c r="F45" t="s">
        <v>43</v>
      </c>
      <c r="G45" t="str">
        <f t="shared" si="0"/>
        <v>BIG10</v>
      </c>
      <c r="M45" s="18" t="s">
        <v>53</v>
      </c>
      <c r="N45">
        <v>6</v>
      </c>
      <c r="O45" s="19">
        <f t="shared" si="2"/>
        <v>0.18181818181818182</v>
      </c>
    </row>
    <row r="46" spans="3:15" x14ac:dyDescent="0.35">
      <c r="F46" t="s">
        <v>70</v>
      </c>
      <c r="G46" t="str">
        <f t="shared" si="0"/>
        <v>SEC</v>
      </c>
      <c r="M46" s="18" t="s">
        <v>69</v>
      </c>
      <c r="N46">
        <v>3</v>
      </c>
      <c r="O46" s="19">
        <f t="shared" si="2"/>
        <v>9.0909090909090912E-2</v>
      </c>
    </row>
    <row r="47" spans="3:15" x14ac:dyDescent="0.35">
      <c r="F47" t="s">
        <v>57</v>
      </c>
      <c r="G47" t="str">
        <f t="shared" si="0"/>
        <v>BIG12</v>
      </c>
      <c r="M47" s="18" t="s">
        <v>74</v>
      </c>
      <c r="N47">
        <v>3</v>
      </c>
      <c r="O47" s="19">
        <f t="shared" si="2"/>
        <v>9.0909090909090912E-2</v>
      </c>
    </row>
    <row r="48" spans="3:15" x14ac:dyDescent="0.35">
      <c r="F48" t="s">
        <v>46</v>
      </c>
      <c r="G48" t="str">
        <f t="shared" si="0"/>
        <v>SEC</v>
      </c>
      <c r="M48" s="18" t="s">
        <v>82</v>
      </c>
      <c r="N48">
        <v>1</v>
      </c>
      <c r="O48" s="19">
        <f t="shared" si="2"/>
        <v>3.0303030303030304E-2</v>
      </c>
    </row>
    <row r="49" spans="6:15" x14ac:dyDescent="0.35">
      <c r="F49" t="s">
        <v>47</v>
      </c>
      <c r="G49" t="str">
        <f t="shared" si="0"/>
        <v>SEC</v>
      </c>
      <c r="M49" s="18" t="s">
        <v>85</v>
      </c>
      <c r="N49">
        <v>1</v>
      </c>
      <c r="O49" s="19">
        <f t="shared" si="2"/>
        <v>3.0303030303030304E-2</v>
      </c>
    </row>
    <row r="50" spans="6:15" x14ac:dyDescent="0.35">
      <c r="F50" t="s">
        <v>48</v>
      </c>
      <c r="G50" t="str">
        <f t="shared" si="0"/>
        <v>SEC</v>
      </c>
      <c r="M50" s="17" t="s">
        <v>107</v>
      </c>
      <c r="N50">
        <v>30</v>
      </c>
    </row>
    <row r="51" spans="6:15" x14ac:dyDescent="0.35">
      <c r="F51" t="s">
        <v>62</v>
      </c>
      <c r="G51" t="str">
        <f t="shared" si="0"/>
        <v>G5</v>
      </c>
      <c r="M51" s="20" t="s">
        <v>44</v>
      </c>
      <c r="N51" s="21">
        <v>30</v>
      </c>
      <c r="O51" s="19">
        <f t="shared" si="2"/>
        <v>0.90909090909090906</v>
      </c>
    </row>
    <row r="52" spans="6:15" x14ac:dyDescent="0.35">
      <c r="F52" t="s">
        <v>41</v>
      </c>
      <c r="G52" t="str">
        <f t="shared" si="0"/>
        <v>BIG10</v>
      </c>
      <c r="M52" s="17" t="s">
        <v>112</v>
      </c>
      <c r="N52">
        <v>396</v>
      </c>
    </row>
    <row r="53" spans="6:15" x14ac:dyDescent="0.35">
      <c r="F53" t="s">
        <v>50</v>
      </c>
      <c r="G53" t="str">
        <f t="shared" si="0"/>
        <v>ACC</v>
      </c>
    </row>
    <row r="54" spans="6:15" x14ac:dyDescent="0.35">
      <c r="F54" t="s">
        <v>43</v>
      </c>
      <c r="G54" t="str">
        <f t="shared" si="0"/>
        <v>BIG10</v>
      </c>
    </row>
    <row r="55" spans="6:15" x14ac:dyDescent="0.35">
      <c r="F55" t="s">
        <v>57</v>
      </c>
      <c r="G55" t="str">
        <f t="shared" si="0"/>
        <v>BIG12</v>
      </c>
    </row>
    <row r="56" spans="6:15" x14ac:dyDescent="0.35">
      <c r="F56" t="s">
        <v>42</v>
      </c>
      <c r="G56" t="str">
        <f t="shared" si="0"/>
        <v>SEC</v>
      </c>
    </row>
    <row r="57" spans="6:15" x14ac:dyDescent="0.35">
      <c r="F57" t="s">
        <v>45</v>
      </c>
      <c r="G57" t="str">
        <f t="shared" si="0"/>
        <v>BIG12</v>
      </c>
    </row>
    <row r="58" spans="6:15" x14ac:dyDescent="0.35">
      <c r="F58" t="s">
        <v>44</v>
      </c>
      <c r="G58" t="str">
        <f t="shared" si="0"/>
        <v>Indep</v>
      </c>
    </row>
    <row r="59" spans="6:15" x14ac:dyDescent="0.35">
      <c r="F59" t="s">
        <v>55</v>
      </c>
      <c r="G59" t="str">
        <f t="shared" si="0"/>
        <v>BIG12</v>
      </c>
    </row>
    <row r="60" spans="6:15" x14ac:dyDescent="0.35">
      <c r="F60" t="s">
        <v>38</v>
      </c>
      <c r="G60" t="str">
        <f t="shared" si="0"/>
        <v>ACC</v>
      </c>
    </row>
    <row r="61" spans="6:15" x14ac:dyDescent="0.35">
      <c r="F61" t="s">
        <v>52</v>
      </c>
      <c r="G61" t="str">
        <f t="shared" si="0"/>
        <v>BIG12</v>
      </c>
    </row>
    <row r="62" spans="6:15" x14ac:dyDescent="0.35">
      <c r="F62" t="s">
        <v>49</v>
      </c>
      <c r="G62" t="str">
        <f t="shared" si="0"/>
        <v>G5</v>
      </c>
    </row>
    <row r="63" spans="6:15" x14ac:dyDescent="0.35">
      <c r="F63" t="s">
        <v>39</v>
      </c>
      <c r="G63" t="str">
        <f t="shared" si="0"/>
        <v>BIG10</v>
      </c>
    </row>
    <row r="64" spans="6:15" x14ac:dyDescent="0.35">
      <c r="F64" t="s">
        <v>39</v>
      </c>
      <c r="G64" t="str">
        <f t="shared" si="0"/>
        <v>BIG10</v>
      </c>
    </row>
    <row r="65" spans="6:7" x14ac:dyDescent="0.35">
      <c r="F65" t="s">
        <v>42</v>
      </c>
      <c r="G65" t="str">
        <f t="shared" si="0"/>
        <v>SEC</v>
      </c>
    </row>
    <row r="66" spans="6:7" x14ac:dyDescent="0.35">
      <c r="F66" t="s">
        <v>40</v>
      </c>
      <c r="G66" t="str">
        <f t="shared" si="0"/>
        <v>SEC</v>
      </c>
    </row>
    <row r="67" spans="6:7" x14ac:dyDescent="0.35">
      <c r="F67" t="s">
        <v>41</v>
      </c>
      <c r="G67" t="str">
        <f t="shared" si="0"/>
        <v>BIG10</v>
      </c>
    </row>
    <row r="68" spans="6:7" x14ac:dyDescent="0.35">
      <c r="F68" t="s">
        <v>86</v>
      </c>
      <c r="G68" t="str">
        <f t="shared" si="0"/>
        <v>ACC</v>
      </c>
    </row>
    <row r="69" spans="6:7" x14ac:dyDescent="0.35">
      <c r="F69" t="s">
        <v>46</v>
      </c>
      <c r="G69" t="str">
        <f t="shared" ref="G69:G132" si="3">VLOOKUP(F69,$C$4:$D$42,2,FALSE)</f>
        <v>SEC</v>
      </c>
    </row>
    <row r="70" spans="6:7" x14ac:dyDescent="0.35">
      <c r="F70" t="s">
        <v>44</v>
      </c>
      <c r="G70" t="str">
        <f t="shared" si="3"/>
        <v>Indep</v>
      </c>
    </row>
    <row r="71" spans="6:7" x14ac:dyDescent="0.35">
      <c r="F71" t="s">
        <v>57</v>
      </c>
      <c r="G71" t="str">
        <f t="shared" si="3"/>
        <v>BIG12</v>
      </c>
    </row>
    <row r="72" spans="6:7" x14ac:dyDescent="0.35">
      <c r="F72" t="s">
        <v>43</v>
      </c>
      <c r="G72" t="str">
        <f t="shared" si="3"/>
        <v>BIG10</v>
      </c>
    </row>
    <row r="73" spans="6:7" x14ac:dyDescent="0.35">
      <c r="F73" t="s">
        <v>50</v>
      </c>
      <c r="G73" t="str">
        <f t="shared" si="3"/>
        <v>ACC</v>
      </c>
    </row>
    <row r="74" spans="6:7" x14ac:dyDescent="0.35">
      <c r="F74" t="s">
        <v>47</v>
      </c>
      <c r="G74" t="str">
        <f t="shared" si="3"/>
        <v>SEC</v>
      </c>
    </row>
    <row r="75" spans="6:7" x14ac:dyDescent="0.35">
      <c r="F75" t="s">
        <v>62</v>
      </c>
      <c r="G75" t="str">
        <f t="shared" si="3"/>
        <v>G5</v>
      </c>
    </row>
    <row r="76" spans="6:7" x14ac:dyDescent="0.35">
      <c r="F76" t="s">
        <v>39</v>
      </c>
      <c r="G76" t="str">
        <f t="shared" si="3"/>
        <v>BIG10</v>
      </c>
    </row>
    <row r="77" spans="6:7" x14ac:dyDescent="0.35">
      <c r="F77" t="s">
        <v>70</v>
      </c>
      <c r="G77" t="str">
        <f t="shared" si="3"/>
        <v>SEC</v>
      </c>
    </row>
    <row r="78" spans="6:7" x14ac:dyDescent="0.35">
      <c r="F78" t="s">
        <v>48</v>
      </c>
      <c r="G78" t="str">
        <f t="shared" si="3"/>
        <v>SEC</v>
      </c>
    </row>
    <row r="79" spans="6:7" x14ac:dyDescent="0.35">
      <c r="F79" t="s">
        <v>41</v>
      </c>
      <c r="G79" t="str">
        <f t="shared" si="3"/>
        <v>BIG10</v>
      </c>
    </row>
    <row r="80" spans="6:7" x14ac:dyDescent="0.35">
      <c r="F80" t="s">
        <v>42</v>
      </c>
      <c r="G80" t="str">
        <f t="shared" si="3"/>
        <v>SEC</v>
      </c>
    </row>
    <row r="81" spans="6:7" x14ac:dyDescent="0.35">
      <c r="F81" t="s">
        <v>80</v>
      </c>
      <c r="G81" t="str">
        <f t="shared" si="3"/>
        <v>BIG10</v>
      </c>
    </row>
    <row r="82" spans="6:7" x14ac:dyDescent="0.35">
      <c r="F82" t="s">
        <v>43</v>
      </c>
      <c r="G82" t="str">
        <f t="shared" si="3"/>
        <v>BIG10</v>
      </c>
    </row>
    <row r="83" spans="6:7" x14ac:dyDescent="0.35">
      <c r="F83" t="s">
        <v>52</v>
      </c>
      <c r="G83" t="str">
        <f t="shared" si="3"/>
        <v>BIG12</v>
      </c>
    </row>
    <row r="84" spans="6:7" x14ac:dyDescent="0.35">
      <c r="F84" t="s">
        <v>46</v>
      </c>
      <c r="G84" t="str">
        <f t="shared" si="3"/>
        <v>SEC</v>
      </c>
    </row>
    <row r="85" spans="6:7" x14ac:dyDescent="0.35">
      <c r="F85" t="s">
        <v>50</v>
      </c>
      <c r="G85" t="str">
        <f t="shared" si="3"/>
        <v>ACC</v>
      </c>
    </row>
    <row r="86" spans="6:7" x14ac:dyDescent="0.35">
      <c r="F86" t="s">
        <v>47</v>
      </c>
      <c r="G86" t="str">
        <f t="shared" si="3"/>
        <v>SEC</v>
      </c>
    </row>
    <row r="87" spans="6:7" x14ac:dyDescent="0.35">
      <c r="F87" t="s">
        <v>62</v>
      </c>
      <c r="G87" t="str">
        <f t="shared" si="3"/>
        <v>G5</v>
      </c>
    </row>
    <row r="88" spans="6:7" x14ac:dyDescent="0.35">
      <c r="F88" t="s">
        <v>90</v>
      </c>
      <c r="G88" t="str">
        <f t="shared" si="3"/>
        <v>ACC</v>
      </c>
    </row>
    <row r="89" spans="6:7" x14ac:dyDescent="0.35">
      <c r="F89" t="s">
        <v>57</v>
      </c>
      <c r="G89" t="str">
        <f t="shared" si="3"/>
        <v>BIG12</v>
      </c>
    </row>
    <row r="90" spans="6:7" x14ac:dyDescent="0.35">
      <c r="F90" t="s">
        <v>41</v>
      </c>
      <c r="G90" t="str">
        <f t="shared" si="3"/>
        <v>BIG10</v>
      </c>
    </row>
    <row r="91" spans="6:7" x14ac:dyDescent="0.35">
      <c r="F91" t="s">
        <v>40</v>
      </c>
      <c r="G91" t="str">
        <f t="shared" si="3"/>
        <v>SEC</v>
      </c>
    </row>
    <row r="92" spans="6:7" x14ac:dyDescent="0.35">
      <c r="F92" t="s">
        <v>46</v>
      </c>
      <c r="G92" t="str">
        <f t="shared" si="3"/>
        <v>SEC</v>
      </c>
    </row>
    <row r="93" spans="6:7" x14ac:dyDescent="0.35">
      <c r="F93" t="s">
        <v>44</v>
      </c>
      <c r="G93" t="str">
        <f t="shared" si="3"/>
        <v>Indep</v>
      </c>
    </row>
    <row r="94" spans="6:7" x14ac:dyDescent="0.35">
      <c r="F94" t="s">
        <v>42</v>
      </c>
      <c r="G94" t="str">
        <f t="shared" si="3"/>
        <v>SEC</v>
      </c>
    </row>
    <row r="95" spans="6:7" x14ac:dyDescent="0.35">
      <c r="F95" t="s">
        <v>43</v>
      </c>
      <c r="G95" t="str">
        <f t="shared" si="3"/>
        <v>BIG10</v>
      </c>
    </row>
    <row r="96" spans="6:7" x14ac:dyDescent="0.35">
      <c r="F96" t="s">
        <v>50</v>
      </c>
      <c r="G96" t="str">
        <f t="shared" si="3"/>
        <v>ACC</v>
      </c>
    </row>
    <row r="97" spans="6:7" x14ac:dyDescent="0.35">
      <c r="F97" t="s">
        <v>47</v>
      </c>
      <c r="G97" t="str">
        <f t="shared" si="3"/>
        <v>SEC</v>
      </c>
    </row>
    <row r="98" spans="6:7" x14ac:dyDescent="0.35">
      <c r="F98" t="s">
        <v>64</v>
      </c>
      <c r="G98" t="str">
        <f t="shared" si="3"/>
        <v>BIG12</v>
      </c>
    </row>
    <row r="99" spans="6:7" x14ac:dyDescent="0.35">
      <c r="F99" t="s">
        <v>69</v>
      </c>
      <c r="G99" t="str">
        <f t="shared" si="3"/>
        <v>G5</v>
      </c>
    </row>
    <row r="100" spans="6:7" x14ac:dyDescent="0.35">
      <c r="F100" t="s">
        <v>40</v>
      </c>
      <c r="G100" t="str">
        <f t="shared" si="3"/>
        <v>SEC</v>
      </c>
    </row>
    <row r="101" spans="6:7" x14ac:dyDescent="0.35">
      <c r="F101" t="s">
        <v>41</v>
      </c>
      <c r="G101" t="str">
        <f t="shared" si="3"/>
        <v>BIG10</v>
      </c>
    </row>
    <row r="102" spans="6:7" x14ac:dyDescent="0.35">
      <c r="F102" t="s">
        <v>50</v>
      </c>
      <c r="G102" t="str">
        <f t="shared" si="3"/>
        <v>ACC</v>
      </c>
    </row>
    <row r="103" spans="6:7" x14ac:dyDescent="0.35">
      <c r="F103" t="s">
        <v>42</v>
      </c>
      <c r="G103" t="str">
        <f t="shared" si="3"/>
        <v>SEC</v>
      </c>
    </row>
    <row r="104" spans="6:7" x14ac:dyDescent="0.35">
      <c r="F104" t="s">
        <v>48</v>
      </c>
      <c r="G104" t="str">
        <f t="shared" si="3"/>
        <v>SEC</v>
      </c>
    </row>
    <row r="105" spans="6:7" x14ac:dyDescent="0.35">
      <c r="F105" t="s">
        <v>46</v>
      </c>
      <c r="G105" t="str">
        <f t="shared" si="3"/>
        <v>SEC</v>
      </c>
    </row>
    <row r="106" spans="6:7" x14ac:dyDescent="0.35">
      <c r="F106" t="s">
        <v>57</v>
      </c>
      <c r="G106" t="str">
        <f t="shared" si="3"/>
        <v>BIG12</v>
      </c>
    </row>
    <row r="107" spans="6:7" x14ac:dyDescent="0.35">
      <c r="F107" t="s">
        <v>47</v>
      </c>
      <c r="G107" t="str">
        <f t="shared" si="3"/>
        <v>SEC</v>
      </c>
    </row>
    <row r="108" spans="6:7" x14ac:dyDescent="0.35">
      <c r="F108" t="s">
        <v>43</v>
      </c>
      <c r="G108" t="str">
        <f t="shared" si="3"/>
        <v>BIG10</v>
      </c>
    </row>
    <row r="109" spans="6:7" x14ac:dyDescent="0.35">
      <c r="F109" t="s">
        <v>60</v>
      </c>
      <c r="G109" t="str">
        <f t="shared" si="3"/>
        <v>BIG10</v>
      </c>
    </row>
    <row r="110" spans="6:7" x14ac:dyDescent="0.35">
      <c r="F110" t="s">
        <v>63</v>
      </c>
      <c r="G110" t="str">
        <f t="shared" si="3"/>
        <v>SEC</v>
      </c>
    </row>
    <row r="111" spans="6:7" x14ac:dyDescent="0.35">
      <c r="F111" t="s">
        <v>62</v>
      </c>
      <c r="G111" t="str">
        <f t="shared" si="3"/>
        <v>G5</v>
      </c>
    </row>
    <row r="112" spans="6:7" x14ac:dyDescent="0.35">
      <c r="F112" t="s">
        <v>41</v>
      </c>
      <c r="G112" t="str">
        <f t="shared" si="3"/>
        <v>BIG10</v>
      </c>
    </row>
    <row r="113" spans="6:7" x14ac:dyDescent="0.35">
      <c r="F113" t="s">
        <v>50</v>
      </c>
      <c r="G113" t="str">
        <f t="shared" si="3"/>
        <v>ACC</v>
      </c>
    </row>
    <row r="114" spans="6:7" x14ac:dyDescent="0.35">
      <c r="F114" t="s">
        <v>43</v>
      </c>
      <c r="G114" t="str">
        <f t="shared" si="3"/>
        <v>BIG10</v>
      </c>
    </row>
    <row r="115" spans="6:7" x14ac:dyDescent="0.35">
      <c r="F115" t="s">
        <v>46</v>
      </c>
      <c r="G115" t="str">
        <f t="shared" si="3"/>
        <v>SEC</v>
      </c>
    </row>
    <row r="116" spans="6:7" x14ac:dyDescent="0.35">
      <c r="F116" t="s">
        <v>42</v>
      </c>
      <c r="G116" t="str">
        <f t="shared" si="3"/>
        <v>SEC</v>
      </c>
    </row>
    <row r="117" spans="6:7" x14ac:dyDescent="0.35">
      <c r="F117" t="s">
        <v>47</v>
      </c>
      <c r="G117" t="str">
        <f t="shared" si="3"/>
        <v>SEC</v>
      </c>
    </row>
    <row r="118" spans="6:7" x14ac:dyDescent="0.35">
      <c r="F118" t="s">
        <v>39</v>
      </c>
      <c r="G118" t="str">
        <f t="shared" si="3"/>
        <v>BIG10</v>
      </c>
    </row>
    <row r="119" spans="6:7" x14ac:dyDescent="0.35">
      <c r="F119" t="s">
        <v>44</v>
      </c>
      <c r="G119" t="str">
        <f t="shared" si="3"/>
        <v>Indep</v>
      </c>
    </row>
    <row r="120" spans="6:7" x14ac:dyDescent="0.35">
      <c r="F120" t="s">
        <v>40</v>
      </c>
      <c r="G120" t="str">
        <f t="shared" si="3"/>
        <v>SEC</v>
      </c>
    </row>
    <row r="121" spans="6:7" x14ac:dyDescent="0.35">
      <c r="F121" t="s">
        <v>65</v>
      </c>
      <c r="G121" t="str">
        <f t="shared" si="3"/>
        <v>BIG12</v>
      </c>
    </row>
    <row r="122" spans="6:7" x14ac:dyDescent="0.35">
      <c r="F122" t="s">
        <v>69</v>
      </c>
      <c r="G122" t="str">
        <f t="shared" si="3"/>
        <v>G5</v>
      </c>
    </row>
    <row r="123" spans="6:7" x14ac:dyDescent="0.35">
      <c r="F123" t="s">
        <v>53</v>
      </c>
      <c r="G123" t="str">
        <f t="shared" si="3"/>
        <v>G5</v>
      </c>
    </row>
    <row r="124" spans="6:7" x14ac:dyDescent="0.35">
      <c r="F124" t="s">
        <v>42</v>
      </c>
      <c r="G124" t="str">
        <f t="shared" si="3"/>
        <v>SEC</v>
      </c>
    </row>
    <row r="125" spans="6:7" x14ac:dyDescent="0.35">
      <c r="F125" t="s">
        <v>43</v>
      </c>
      <c r="G125" t="str">
        <f t="shared" si="3"/>
        <v>BIG10</v>
      </c>
    </row>
    <row r="126" spans="6:7" x14ac:dyDescent="0.35">
      <c r="F126" t="s">
        <v>70</v>
      </c>
      <c r="G126" t="str">
        <f t="shared" si="3"/>
        <v>SEC</v>
      </c>
    </row>
    <row r="127" spans="6:7" x14ac:dyDescent="0.35">
      <c r="F127" t="s">
        <v>50</v>
      </c>
      <c r="G127" t="str">
        <f t="shared" si="3"/>
        <v>ACC</v>
      </c>
    </row>
    <row r="128" spans="6:7" x14ac:dyDescent="0.35">
      <c r="F128" t="s">
        <v>44</v>
      </c>
      <c r="G128" t="str">
        <f t="shared" si="3"/>
        <v>Indep</v>
      </c>
    </row>
    <row r="129" spans="6:7" x14ac:dyDescent="0.35">
      <c r="F129" t="s">
        <v>46</v>
      </c>
      <c r="G129" t="str">
        <f t="shared" si="3"/>
        <v>SEC</v>
      </c>
    </row>
    <row r="130" spans="6:7" x14ac:dyDescent="0.35">
      <c r="F130" t="s">
        <v>54</v>
      </c>
      <c r="G130" t="str">
        <f t="shared" si="3"/>
        <v>SEC</v>
      </c>
    </row>
    <row r="131" spans="6:7" x14ac:dyDescent="0.35">
      <c r="F131" t="s">
        <v>41</v>
      </c>
      <c r="G131" t="str">
        <f t="shared" si="3"/>
        <v>BIG10</v>
      </c>
    </row>
    <row r="132" spans="6:7" x14ac:dyDescent="0.35">
      <c r="F132" t="s">
        <v>40</v>
      </c>
      <c r="G132" t="str">
        <f t="shared" si="3"/>
        <v>SEC</v>
      </c>
    </row>
    <row r="133" spans="6:7" x14ac:dyDescent="0.35">
      <c r="F133" t="s">
        <v>52</v>
      </c>
      <c r="G133" t="str">
        <f t="shared" ref="G133:G196" si="4">VLOOKUP(F133,$C$4:$D$42,2,FALSE)</f>
        <v>BIG12</v>
      </c>
    </row>
    <row r="134" spans="6:7" x14ac:dyDescent="0.35">
      <c r="F134" t="s">
        <v>39</v>
      </c>
      <c r="G134" t="str">
        <f t="shared" si="4"/>
        <v>BIG10</v>
      </c>
    </row>
    <row r="135" spans="6:7" x14ac:dyDescent="0.35">
      <c r="F135" t="s">
        <v>74</v>
      </c>
      <c r="G135" t="str">
        <f t="shared" si="4"/>
        <v>G5</v>
      </c>
    </row>
    <row r="136" spans="6:7" x14ac:dyDescent="0.35">
      <c r="F136" t="s">
        <v>41</v>
      </c>
      <c r="G136" t="str">
        <f t="shared" si="4"/>
        <v>BIG10</v>
      </c>
    </row>
    <row r="137" spans="6:7" x14ac:dyDescent="0.35">
      <c r="F137" t="s">
        <v>46</v>
      </c>
      <c r="G137" t="str">
        <f t="shared" si="4"/>
        <v>SEC</v>
      </c>
    </row>
    <row r="138" spans="6:7" x14ac:dyDescent="0.35">
      <c r="F138" t="s">
        <v>43</v>
      </c>
      <c r="G138" t="str">
        <f t="shared" si="4"/>
        <v>BIG10</v>
      </c>
    </row>
    <row r="139" spans="6:7" x14ac:dyDescent="0.35">
      <c r="F139" t="s">
        <v>42</v>
      </c>
      <c r="G139" t="str">
        <f t="shared" si="4"/>
        <v>SEC</v>
      </c>
    </row>
    <row r="140" spans="6:7" x14ac:dyDescent="0.35">
      <c r="F140" t="s">
        <v>50</v>
      </c>
      <c r="G140" t="str">
        <f t="shared" si="4"/>
        <v>ACC</v>
      </c>
    </row>
    <row r="141" spans="6:7" x14ac:dyDescent="0.35">
      <c r="F141" t="s">
        <v>80</v>
      </c>
      <c r="G141" t="str">
        <f t="shared" si="4"/>
        <v>BIG10</v>
      </c>
    </row>
    <row r="142" spans="6:7" x14ac:dyDescent="0.35">
      <c r="F142" t="s">
        <v>79</v>
      </c>
      <c r="G142" t="str">
        <f t="shared" si="4"/>
        <v>SEC</v>
      </c>
    </row>
    <row r="143" spans="6:7" x14ac:dyDescent="0.35">
      <c r="F143" t="s">
        <v>48</v>
      </c>
      <c r="G143" t="str">
        <f t="shared" si="4"/>
        <v>SEC</v>
      </c>
    </row>
    <row r="144" spans="6:7" x14ac:dyDescent="0.35">
      <c r="F144" t="s">
        <v>55</v>
      </c>
      <c r="G144" t="str">
        <f t="shared" si="4"/>
        <v>BIG12</v>
      </c>
    </row>
    <row r="145" spans="6:7" x14ac:dyDescent="0.35">
      <c r="F145" t="s">
        <v>49</v>
      </c>
      <c r="G145" t="str">
        <f t="shared" si="4"/>
        <v>G5</v>
      </c>
    </row>
    <row r="146" spans="6:7" x14ac:dyDescent="0.35">
      <c r="F146" t="s">
        <v>44</v>
      </c>
      <c r="G146" t="str">
        <f t="shared" si="4"/>
        <v>Indep</v>
      </c>
    </row>
    <row r="147" spans="6:7" x14ac:dyDescent="0.35">
      <c r="F147" t="s">
        <v>40</v>
      </c>
      <c r="G147" t="str">
        <f t="shared" si="4"/>
        <v>SEC</v>
      </c>
    </row>
    <row r="148" spans="6:7" x14ac:dyDescent="0.35">
      <c r="F148" t="s">
        <v>43</v>
      </c>
      <c r="G148" t="str">
        <f t="shared" si="4"/>
        <v>BIG10</v>
      </c>
    </row>
    <row r="149" spans="6:7" x14ac:dyDescent="0.35">
      <c r="F149" t="s">
        <v>50</v>
      </c>
      <c r="G149" t="str">
        <f t="shared" si="4"/>
        <v>ACC</v>
      </c>
    </row>
    <row r="150" spans="6:7" x14ac:dyDescent="0.35">
      <c r="F150" t="s">
        <v>41</v>
      </c>
      <c r="G150" t="str">
        <f t="shared" si="4"/>
        <v>BIG10</v>
      </c>
    </row>
    <row r="151" spans="6:7" x14ac:dyDescent="0.35">
      <c r="F151" t="s">
        <v>42</v>
      </c>
      <c r="G151" t="str">
        <f t="shared" si="4"/>
        <v>SEC</v>
      </c>
    </row>
    <row r="152" spans="6:7" x14ac:dyDescent="0.35">
      <c r="F152" t="s">
        <v>46</v>
      </c>
      <c r="G152" t="str">
        <f t="shared" si="4"/>
        <v>SEC</v>
      </c>
    </row>
    <row r="153" spans="6:7" x14ac:dyDescent="0.35">
      <c r="F153" t="s">
        <v>44</v>
      </c>
      <c r="G153" t="str">
        <f t="shared" si="4"/>
        <v>Indep</v>
      </c>
    </row>
    <row r="154" spans="6:7" x14ac:dyDescent="0.35">
      <c r="F154" t="s">
        <v>47</v>
      </c>
      <c r="G154" t="str">
        <f t="shared" si="4"/>
        <v>SEC</v>
      </c>
    </row>
    <row r="155" spans="6:7" x14ac:dyDescent="0.35">
      <c r="F155" t="s">
        <v>80</v>
      </c>
      <c r="G155" t="str">
        <f t="shared" si="4"/>
        <v>BIG10</v>
      </c>
    </row>
    <row r="156" spans="6:7" x14ac:dyDescent="0.35">
      <c r="F156" t="s">
        <v>60</v>
      </c>
      <c r="G156" t="str">
        <f t="shared" si="4"/>
        <v>BIG10</v>
      </c>
    </row>
    <row r="157" spans="6:7" x14ac:dyDescent="0.35">
      <c r="F157" t="s">
        <v>52</v>
      </c>
      <c r="G157" t="str">
        <f t="shared" si="4"/>
        <v>BIG12</v>
      </c>
    </row>
    <row r="158" spans="6:7" x14ac:dyDescent="0.35">
      <c r="F158" t="s">
        <v>39</v>
      </c>
      <c r="G158" t="str">
        <f t="shared" si="4"/>
        <v>BIG10</v>
      </c>
    </row>
    <row r="159" spans="6:7" x14ac:dyDescent="0.35">
      <c r="F159" t="s">
        <v>62</v>
      </c>
      <c r="G159" t="str">
        <f t="shared" si="4"/>
        <v>G5</v>
      </c>
    </row>
    <row r="160" spans="6:7" x14ac:dyDescent="0.35">
      <c r="F160" t="s">
        <v>41</v>
      </c>
      <c r="G160" t="str">
        <f t="shared" si="4"/>
        <v>BIG10</v>
      </c>
    </row>
    <row r="161" spans="6:7" x14ac:dyDescent="0.35">
      <c r="F161" t="s">
        <v>43</v>
      </c>
      <c r="G161" t="str">
        <f t="shared" si="4"/>
        <v>BIG10</v>
      </c>
    </row>
    <row r="162" spans="6:7" x14ac:dyDescent="0.35">
      <c r="F162" t="s">
        <v>50</v>
      </c>
      <c r="G162" t="str">
        <f t="shared" si="4"/>
        <v>ACC</v>
      </c>
    </row>
    <row r="163" spans="6:7" x14ac:dyDescent="0.35">
      <c r="F163" t="s">
        <v>70</v>
      </c>
      <c r="G163" t="str">
        <f t="shared" si="4"/>
        <v>SEC</v>
      </c>
    </row>
    <row r="164" spans="6:7" x14ac:dyDescent="0.35">
      <c r="F164" t="s">
        <v>46</v>
      </c>
      <c r="G164" t="str">
        <f t="shared" si="4"/>
        <v>SEC</v>
      </c>
    </row>
    <row r="165" spans="6:7" x14ac:dyDescent="0.35">
      <c r="F165" t="s">
        <v>42</v>
      </c>
      <c r="G165" t="str">
        <f t="shared" si="4"/>
        <v>SEC</v>
      </c>
    </row>
    <row r="166" spans="6:7" x14ac:dyDescent="0.35">
      <c r="F166" t="s">
        <v>57</v>
      </c>
      <c r="G166" t="str">
        <f t="shared" si="4"/>
        <v>BIG12</v>
      </c>
    </row>
    <row r="167" spans="6:7" x14ac:dyDescent="0.35">
      <c r="F167" t="s">
        <v>47</v>
      </c>
      <c r="G167" t="str">
        <f t="shared" si="4"/>
        <v>SEC</v>
      </c>
    </row>
    <row r="168" spans="6:7" x14ac:dyDescent="0.35">
      <c r="F168" t="s">
        <v>64</v>
      </c>
      <c r="G168" t="str">
        <f t="shared" si="4"/>
        <v>BIG12</v>
      </c>
    </row>
    <row r="169" spans="6:7" x14ac:dyDescent="0.35">
      <c r="F169" t="s">
        <v>44</v>
      </c>
      <c r="G169" t="str">
        <f t="shared" si="4"/>
        <v>Indep</v>
      </c>
    </row>
    <row r="170" spans="6:7" x14ac:dyDescent="0.35">
      <c r="F170" t="s">
        <v>39</v>
      </c>
      <c r="G170" t="str">
        <f t="shared" si="4"/>
        <v>BIG10</v>
      </c>
    </row>
    <row r="171" spans="6:7" x14ac:dyDescent="0.35">
      <c r="F171" t="s">
        <v>62</v>
      </c>
      <c r="G171" t="str">
        <f t="shared" si="4"/>
        <v>G5</v>
      </c>
    </row>
    <row r="172" spans="6:7" x14ac:dyDescent="0.35">
      <c r="F172" t="s">
        <v>41</v>
      </c>
      <c r="G172" t="str">
        <f t="shared" si="4"/>
        <v>BIG10</v>
      </c>
    </row>
    <row r="173" spans="6:7" x14ac:dyDescent="0.35">
      <c r="F173" t="s">
        <v>50</v>
      </c>
      <c r="G173" t="str">
        <f t="shared" si="4"/>
        <v>ACC</v>
      </c>
    </row>
    <row r="174" spans="6:7" x14ac:dyDescent="0.35">
      <c r="F174" t="s">
        <v>48</v>
      </c>
      <c r="G174" t="str">
        <f t="shared" si="4"/>
        <v>SEC</v>
      </c>
    </row>
    <row r="175" spans="6:7" x14ac:dyDescent="0.35">
      <c r="F175" t="s">
        <v>43</v>
      </c>
      <c r="G175" t="str">
        <f t="shared" si="4"/>
        <v>BIG10</v>
      </c>
    </row>
    <row r="176" spans="6:7" x14ac:dyDescent="0.35">
      <c r="F176" t="s">
        <v>42</v>
      </c>
      <c r="G176" t="str">
        <f t="shared" si="4"/>
        <v>SEC</v>
      </c>
    </row>
    <row r="177" spans="6:7" x14ac:dyDescent="0.35">
      <c r="F177" t="s">
        <v>46</v>
      </c>
      <c r="G177" t="str">
        <f t="shared" si="4"/>
        <v>SEC</v>
      </c>
    </row>
    <row r="178" spans="6:7" x14ac:dyDescent="0.35">
      <c r="F178" t="s">
        <v>51</v>
      </c>
      <c r="G178" t="str">
        <f t="shared" si="4"/>
        <v>SEC</v>
      </c>
    </row>
    <row r="179" spans="6:7" x14ac:dyDescent="0.35">
      <c r="F179" t="s">
        <v>60</v>
      </c>
      <c r="G179" t="str">
        <f t="shared" si="4"/>
        <v>BIG10</v>
      </c>
    </row>
    <row r="180" spans="6:7" x14ac:dyDescent="0.35">
      <c r="F180" t="s">
        <v>44</v>
      </c>
      <c r="G180" t="str">
        <f t="shared" si="4"/>
        <v>Indep</v>
      </c>
    </row>
    <row r="181" spans="6:7" x14ac:dyDescent="0.35">
      <c r="F181" t="s">
        <v>55</v>
      </c>
      <c r="G181" t="str">
        <f t="shared" si="4"/>
        <v>BIG12</v>
      </c>
    </row>
    <row r="182" spans="6:7" x14ac:dyDescent="0.35">
      <c r="F182" t="s">
        <v>47</v>
      </c>
      <c r="G182" t="str">
        <f t="shared" si="4"/>
        <v>SEC</v>
      </c>
    </row>
    <row r="183" spans="6:7" x14ac:dyDescent="0.35">
      <c r="F183" t="s">
        <v>53</v>
      </c>
      <c r="G183" t="str">
        <f t="shared" si="4"/>
        <v>G5</v>
      </c>
    </row>
    <row r="184" spans="6:7" x14ac:dyDescent="0.35">
      <c r="F184" t="s">
        <v>43</v>
      </c>
      <c r="G184" t="str">
        <f t="shared" si="4"/>
        <v>BIG10</v>
      </c>
    </row>
    <row r="185" spans="6:7" x14ac:dyDescent="0.35">
      <c r="F185" t="s">
        <v>40</v>
      </c>
      <c r="G185" t="str">
        <f t="shared" si="4"/>
        <v>SEC</v>
      </c>
    </row>
    <row r="186" spans="6:7" x14ac:dyDescent="0.35">
      <c r="F186" t="s">
        <v>42</v>
      </c>
      <c r="G186" t="str">
        <f t="shared" si="4"/>
        <v>SEC</v>
      </c>
    </row>
    <row r="187" spans="6:7" x14ac:dyDescent="0.35">
      <c r="F187" t="s">
        <v>44</v>
      </c>
      <c r="G187" t="str">
        <f t="shared" si="4"/>
        <v>Indep</v>
      </c>
    </row>
    <row r="188" spans="6:7" x14ac:dyDescent="0.35">
      <c r="F188" t="s">
        <v>41</v>
      </c>
      <c r="G188" t="str">
        <f t="shared" si="4"/>
        <v>BIG10</v>
      </c>
    </row>
    <row r="189" spans="6:7" x14ac:dyDescent="0.35">
      <c r="F189" t="s">
        <v>51</v>
      </c>
      <c r="G189" t="str">
        <f t="shared" si="4"/>
        <v>SEC</v>
      </c>
    </row>
    <row r="190" spans="6:7" x14ac:dyDescent="0.35">
      <c r="F190" t="s">
        <v>61</v>
      </c>
      <c r="G190" t="str">
        <f t="shared" si="4"/>
        <v>BIG12</v>
      </c>
    </row>
    <row r="191" spans="6:7" x14ac:dyDescent="0.35">
      <c r="F191" t="s">
        <v>48</v>
      </c>
      <c r="G191" t="str">
        <f t="shared" si="4"/>
        <v>SEC</v>
      </c>
    </row>
    <row r="192" spans="6:7" x14ac:dyDescent="0.35">
      <c r="F192" t="s">
        <v>46</v>
      </c>
      <c r="G192" t="str">
        <f t="shared" si="4"/>
        <v>SEC</v>
      </c>
    </row>
    <row r="193" spans="6:7" x14ac:dyDescent="0.35">
      <c r="F193" t="s">
        <v>52</v>
      </c>
      <c r="G193" t="str">
        <f t="shared" si="4"/>
        <v>BIG12</v>
      </c>
    </row>
    <row r="194" spans="6:7" x14ac:dyDescent="0.35">
      <c r="F194" t="s">
        <v>67</v>
      </c>
      <c r="G194" t="str">
        <f t="shared" si="4"/>
        <v>ACC</v>
      </c>
    </row>
    <row r="195" spans="6:7" x14ac:dyDescent="0.35">
      <c r="F195" t="s">
        <v>62</v>
      </c>
      <c r="G195" t="str">
        <f t="shared" si="4"/>
        <v>G5</v>
      </c>
    </row>
    <row r="196" spans="6:7" x14ac:dyDescent="0.35">
      <c r="F196" t="s">
        <v>40</v>
      </c>
      <c r="G196" t="str">
        <f t="shared" si="4"/>
        <v>SEC</v>
      </c>
    </row>
    <row r="197" spans="6:7" x14ac:dyDescent="0.35">
      <c r="F197" t="s">
        <v>48</v>
      </c>
      <c r="G197" t="str">
        <f t="shared" ref="G197:G260" si="5">VLOOKUP(F197,$C$4:$D$42,2,FALSE)</f>
        <v>SEC</v>
      </c>
    </row>
    <row r="198" spans="6:7" x14ac:dyDescent="0.35">
      <c r="F198" t="s">
        <v>50</v>
      </c>
      <c r="G198" t="str">
        <f t="shared" si="5"/>
        <v>ACC</v>
      </c>
    </row>
    <row r="199" spans="6:7" x14ac:dyDescent="0.35">
      <c r="F199" t="s">
        <v>41</v>
      </c>
      <c r="G199" t="str">
        <f t="shared" si="5"/>
        <v>BIG10</v>
      </c>
    </row>
    <row r="200" spans="6:7" x14ac:dyDescent="0.35">
      <c r="F200" t="s">
        <v>42</v>
      </c>
      <c r="G200" t="str">
        <f t="shared" si="5"/>
        <v>SEC</v>
      </c>
    </row>
    <row r="201" spans="6:7" x14ac:dyDescent="0.35">
      <c r="F201" t="s">
        <v>44</v>
      </c>
      <c r="G201" t="str">
        <f t="shared" si="5"/>
        <v>Indep</v>
      </c>
    </row>
    <row r="202" spans="6:7" x14ac:dyDescent="0.35">
      <c r="F202" t="s">
        <v>43</v>
      </c>
      <c r="G202" t="str">
        <f t="shared" si="5"/>
        <v>BIG10</v>
      </c>
    </row>
    <row r="203" spans="6:7" x14ac:dyDescent="0.35">
      <c r="F203" t="s">
        <v>46</v>
      </c>
      <c r="G203" t="str">
        <f t="shared" si="5"/>
        <v>SEC</v>
      </c>
    </row>
    <row r="204" spans="6:7" x14ac:dyDescent="0.35">
      <c r="F204" t="s">
        <v>57</v>
      </c>
      <c r="G204" t="str">
        <f t="shared" si="5"/>
        <v>BIG12</v>
      </c>
    </row>
    <row r="205" spans="6:7" x14ac:dyDescent="0.35">
      <c r="F205" t="s">
        <v>47</v>
      </c>
      <c r="G205" t="str">
        <f t="shared" si="5"/>
        <v>SEC</v>
      </c>
    </row>
    <row r="206" spans="6:7" x14ac:dyDescent="0.35">
      <c r="F206" t="s">
        <v>80</v>
      </c>
      <c r="G206" t="str">
        <f t="shared" si="5"/>
        <v>BIG10</v>
      </c>
    </row>
    <row r="207" spans="6:7" x14ac:dyDescent="0.35">
      <c r="F207" t="s">
        <v>62</v>
      </c>
      <c r="G207" t="str">
        <f t="shared" si="5"/>
        <v>G5</v>
      </c>
    </row>
    <row r="208" spans="6:7" x14ac:dyDescent="0.35">
      <c r="F208" t="s">
        <v>41</v>
      </c>
      <c r="G208" t="str">
        <f t="shared" si="5"/>
        <v>BIG10</v>
      </c>
    </row>
    <row r="209" spans="6:7" x14ac:dyDescent="0.35">
      <c r="F209" t="s">
        <v>46</v>
      </c>
      <c r="G209" t="str">
        <f t="shared" si="5"/>
        <v>SEC</v>
      </c>
    </row>
    <row r="210" spans="6:7" x14ac:dyDescent="0.35">
      <c r="F210" t="s">
        <v>50</v>
      </c>
      <c r="G210" t="str">
        <f t="shared" si="5"/>
        <v>ACC</v>
      </c>
    </row>
    <row r="211" spans="6:7" x14ac:dyDescent="0.35">
      <c r="F211" t="s">
        <v>43</v>
      </c>
      <c r="G211" t="str">
        <f t="shared" si="5"/>
        <v>BIG10</v>
      </c>
    </row>
    <row r="212" spans="6:7" x14ac:dyDescent="0.35">
      <c r="F212" t="s">
        <v>70</v>
      </c>
      <c r="G212" t="str">
        <f t="shared" si="5"/>
        <v>SEC</v>
      </c>
    </row>
    <row r="213" spans="6:7" x14ac:dyDescent="0.35">
      <c r="F213" t="s">
        <v>54</v>
      </c>
      <c r="G213" t="str">
        <f t="shared" si="5"/>
        <v>SEC</v>
      </c>
    </row>
    <row r="214" spans="6:7" x14ac:dyDescent="0.35">
      <c r="F214" t="s">
        <v>44</v>
      </c>
      <c r="G214" t="str">
        <f t="shared" si="5"/>
        <v>Indep</v>
      </c>
    </row>
    <row r="215" spans="6:7" x14ac:dyDescent="0.35">
      <c r="F215" t="s">
        <v>42</v>
      </c>
      <c r="G215" t="str">
        <f t="shared" si="5"/>
        <v>SEC</v>
      </c>
    </row>
    <row r="216" spans="6:7" x14ac:dyDescent="0.35">
      <c r="F216" t="s">
        <v>64</v>
      </c>
      <c r="G216" t="str">
        <f t="shared" si="5"/>
        <v>BIG12</v>
      </c>
    </row>
    <row r="217" spans="6:7" x14ac:dyDescent="0.35">
      <c r="F217" t="s">
        <v>40</v>
      </c>
      <c r="G217" t="str">
        <f t="shared" si="5"/>
        <v>SEC</v>
      </c>
    </row>
    <row r="218" spans="6:7" x14ac:dyDescent="0.35">
      <c r="F218" t="s">
        <v>39</v>
      </c>
      <c r="G218" t="str">
        <f t="shared" si="5"/>
        <v>BIG10</v>
      </c>
    </row>
    <row r="219" spans="6:7" x14ac:dyDescent="0.35">
      <c r="F219" t="s">
        <v>62</v>
      </c>
      <c r="G219" t="str">
        <f t="shared" si="5"/>
        <v>G5</v>
      </c>
    </row>
    <row r="220" spans="6:7" x14ac:dyDescent="0.35">
      <c r="F220" t="s">
        <v>41</v>
      </c>
      <c r="G220" t="str">
        <f t="shared" si="5"/>
        <v>BIG10</v>
      </c>
    </row>
    <row r="221" spans="6:7" x14ac:dyDescent="0.35">
      <c r="F221" t="s">
        <v>50</v>
      </c>
      <c r="G221" t="str">
        <f t="shared" si="5"/>
        <v>ACC</v>
      </c>
    </row>
    <row r="222" spans="6:7" x14ac:dyDescent="0.35">
      <c r="F222" t="s">
        <v>46</v>
      </c>
      <c r="G222" t="str">
        <f t="shared" si="5"/>
        <v>SEC</v>
      </c>
    </row>
    <row r="223" spans="6:7" x14ac:dyDescent="0.35">
      <c r="F223" t="s">
        <v>43</v>
      </c>
      <c r="G223" t="str">
        <f t="shared" si="5"/>
        <v>BIG10</v>
      </c>
    </row>
    <row r="224" spans="6:7" x14ac:dyDescent="0.35">
      <c r="F224" t="s">
        <v>44</v>
      </c>
      <c r="G224" t="str">
        <f t="shared" si="5"/>
        <v>Indep</v>
      </c>
    </row>
    <row r="225" spans="6:7" x14ac:dyDescent="0.35">
      <c r="F225" t="s">
        <v>54</v>
      </c>
      <c r="G225" t="str">
        <f t="shared" si="5"/>
        <v>SEC</v>
      </c>
    </row>
    <row r="226" spans="6:7" x14ac:dyDescent="0.35">
      <c r="F226" t="s">
        <v>81</v>
      </c>
      <c r="G226" t="str">
        <f t="shared" si="5"/>
        <v>BIG10</v>
      </c>
    </row>
    <row r="227" spans="6:7" x14ac:dyDescent="0.35">
      <c r="F227" t="s">
        <v>42</v>
      </c>
      <c r="G227" t="str">
        <f t="shared" si="5"/>
        <v>SEC</v>
      </c>
    </row>
    <row r="228" spans="6:7" x14ac:dyDescent="0.35">
      <c r="F228" t="s">
        <v>47</v>
      </c>
      <c r="G228" t="str">
        <f t="shared" si="5"/>
        <v>SEC</v>
      </c>
    </row>
    <row r="229" spans="6:7" x14ac:dyDescent="0.35">
      <c r="F229" t="s">
        <v>64</v>
      </c>
      <c r="G229" t="str">
        <f t="shared" si="5"/>
        <v>BIG12</v>
      </c>
    </row>
    <row r="230" spans="6:7" x14ac:dyDescent="0.35">
      <c r="F230" t="s">
        <v>39</v>
      </c>
      <c r="G230" t="str">
        <f t="shared" si="5"/>
        <v>BIG10</v>
      </c>
    </row>
    <row r="231" spans="6:7" x14ac:dyDescent="0.35">
      <c r="F231" t="s">
        <v>82</v>
      </c>
      <c r="G231" t="str">
        <f t="shared" si="5"/>
        <v>G5</v>
      </c>
    </row>
    <row r="232" spans="6:7" x14ac:dyDescent="0.35">
      <c r="F232" t="s">
        <v>41</v>
      </c>
      <c r="G232" t="str">
        <f t="shared" si="5"/>
        <v>BIG10</v>
      </c>
    </row>
    <row r="233" spans="6:7" x14ac:dyDescent="0.35">
      <c r="F233" t="s">
        <v>43</v>
      </c>
      <c r="G233" t="str">
        <f t="shared" si="5"/>
        <v>BIG10</v>
      </c>
    </row>
    <row r="234" spans="6:7" x14ac:dyDescent="0.35">
      <c r="F234" t="s">
        <v>50</v>
      </c>
      <c r="G234" t="str">
        <f t="shared" si="5"/>
        <v>ACC</v>
      </c>
    </row>
    <row r="235" spans="6:7" x14ac:dyDescent="0.35">
      <c r="F235" t="s">
        <v>46</v>
      </c>
      <c r="G235" t="str">
        <f t="shared" si="5"/>
        <v>SEC</v>
      </c>
    </row>
    <row r="236" spans="6:7" x14ac:dyDescent="0.35">
      <c r="F236" t="s">
        <v>70</v>
      </c>
      <c r="G236" t="str">
        <f t="shared" si="5"/>
        <v>SEC</v>
      </c>
    </row>
    <row r="237" spans="6:7" x14ac:dyDescent="0.35">
      <c r="F237" t="s">
        <v>42</v>
      </c>
      <c r="G237" t="str">
        <f t="shared" si="5"/>
        <v>SEC</v>
      </c>
    </row>
    <row r="238" spans="6:7" x14ac:dyDescent="0.35">
      <c r="F238" t="s">
        <v>39</v>
      </c>
      <c r="G238" t="str">
        <f t="shared" si="5"/>
        <v>BIG10</v>
      </c>
    </row>
    <row r="239" spans="6:7" x14ac:dyDescent="0.35">
      <c r="F239" t="s">
        <v>40</v>
      </c>
      <c r="G239" t="str">
        <f t="shared" si="5"/>
        <v>SEC</v>
      </c>
    </row>
    <row r="240" spans="6:7" x14ac:dyDescent="0.35">
      <c r="F240" t="s">
        <v>47</v>
      </c>
      <c r="G240" t="str">
        <f t="shared" si="5"/>
        <v>SEC</v>
      </c>
    </row>
    <row r="241" spans="6:7" x14ac:dyDescent="0.35">
      <c r="F241" t="s">
        <v>52</v>
      </c>
      <c r="G241" t="str">
        <f t="shared" si="5"/>
        <v>BIG12</v>
      </c>
    </row>
    <row r="242" spans="6:7" x14ac:dyDescent="0.35">
      <c r="F242" t="s">
        <v>44</v>
      </c>
      <c r="G242" t="str">
        <f t="shared" si="5"/>
        <v>Indep</v>
      </c>
    </row>
    <row r="243" spans="6:7" x14ac:dyDescent="0.35">
      <c r="F243" t="s">
        <v>62</v>
      </c>
      <c r="G243" t="str">
        <f t="shared" si="5"/>
        <v>G5</v>
      </c>
    </row>
    <row r="244" spans="6:7" x14ac:dyDescent="0.35">
      <c r="F244" t="s">
        <v>39</v>
      </c>
      <c r="G244" t="str">
        <f t="shared" si="5"/>
        <v>BIG10</v>
      </c>
    </row>
    <row r="245" spans="6:7" x14ac:dyDescent="0.35">
      <c r="F245" t="s">
        <v>41</v>
      </c>
      <c r="G245" t="str">
        <f t="shared" si="5"/>
        <v>BIG10</v>
      </c>
    </row>
    <row r="246" spans="6:7" x14ac:dyDescent="0.35">
      <c r="F246" t="s">
        <v>46</v>
      </c>
      <c r="G246" t="str">
        <f t="shared" si="5"/>
        <v>SEC</v>
      </c>
    </row>
    <row r="247" spans="6:7" x14ac:dyDescent="0.35">
      <c r="F247" t="s">
        <v>44</v>
      </c>
      <c r="G247" t="str">
        <f t="shared" si="5"/>
        <v>Indep</v>
      </c>
    </row>
    <row r="248" spans="6:7" x14ac:dyDescent="0.35">
      <c r="F248" t="s">
        <v>42</v>
      </c>
      <c r="G248" t="str">
        <f t="shared" si="5"/>
        <v>SEC</v>
      </c>
    </row>
    <row r="249" spans="6:7" x14ac:dyDescent="0.35">
      <c r="F249" t="s">
        <v>43</v>
      </c>
      <c r="G249" t="str">
        <f t="shared" si="5"/>
        <v>BIG10</v>
      </c>
    </row>
    <row r="250" spans="6:7" x14ac:dyDescent="0.35">
      <c r="F250" t="s">
        <v>70</v>
      </c>
      <c r="G250" t="str">
        <f t="shared" si="5"/>
        <v>SEC</v>
      </c>
    </row>
    <row r="251" spans="6:7" x14ac:dyDescent="0.35">
      <c r="F251" t="s">
        <v>40</v>
      </c>
      <c r="G251" t="str">
        <f t="shared" si="5"/>
        <v>SEC</v>
      </c>
    </row>
    <row r="252" spans="6:7" x14ac:dyDescent="0.35">
      <c r="F252" t="s">
        <v>47</v>
      </c>
      <c r="G252" t="str">
        <f t="shared" si="5"/>
        <v>SEC</v>
      </c>
    </row>
    <row r="253" spans="6:7" x14ac:dyDescent="0.35">
      <c r="F253" t="s">
        <v>50</v>
      </c>
      <c r="G253" t="str">
        <f t="shared" si="5"/>
        <v>ACC</v>
      </c>
    </row>
    <row r="254" spans="6:7" x14ac:dyDescent="0.35">
      <c r="F254" t="s">
        <v>52</v>
      </c>
      <c r="G254" t="str">
        <f t="shared" si="5"/>
        <v>BIG12</v>
      </c>
    </row>
    <row r="255" spans="6:7" x14ac:dyDescent="0.35">
      <c r="F255" t="s">
        <v>49</v>
      </c>
      <c r="G255" t="str">
        <f t="shared" si="5"/>
        <v>G5</v>
      </c>
    </row>
    <row r="256" spans="6:7" x14ac:dyDescent="0.35">
      <c r="F256" t="s">
        <v>39</v>
      </c>
      <c r="G256" t="str">
        <f t="shared" si="5"/>
        <v>BIG10</v>
      </c>
    </row>
    <row r="257" spans="6:7" x14ac:dyDescent="0.35">
      <c r="F257" t="s">
        <v>38</v>
      </c>
      <c r="G257" t="str">
        <f t="shared" si="5"/>
        <v>ACC</v>
      </c>
    </row>
    <row r="258" spans="6:7" x14ac:dyDescent="0.35">
      <c r="F258" t="s">
        <v>40</v>
      </c>
      <c r="G258" t="str">
        <f t="shared" si="5"/>
        <v>SEC</v>
      </c>
    </row>
    <row r="259" spans="6:7" x14ac:dyDescent="0.35">
      <c r="F259" t="s">
        <v>49</v>
      </c>
      <c r="G259" t="str">
        <f t="shared" si="5"/>
        <v>G5</v>
      </c>
    </row>
    <row r="260" spans="6:7" x14ac:dyDescent="0.35">
      <c r="F260" t="s">
        <v>44</v>
      </c>
      <c r="G260" t="str">
        <f t="shared" si="5"/>
        <v>Indep</v>
      </c>
    </row>
    <row r="261" spans="6:7" x14ac:dyDescent="0.35">
      <c r="F261" t="s">
        <v>41</v>
      </c>
      <c r="G261" t="str">
        <f t="shared" ref="G261:G324" si="6">VLOOKUP(F261,$C$4:$D$42,2,FALSE)</f>
        <v>BIG10</v>
      </c>
    </row>
    <row r="262" spans="6:7" x14ac:dyDescent="0.35">
      <c r="F262" t="s">
        <v>42</v>
      </c>
      <c r="G262" t="str">
        <f t="shared" si="6"/>
        <v>SEC</v>
      </c>
    </row>
    <row r="263" spans="6:7" x14ac:dyDescent="0.35">
      <c r="F263" t="s">
        <v>46</v>
      </c>
      <c r="G263" t="str">
        <f t="shared" si="6"/>
        <v>SEC</v>
      </c>
    </row>
    <row r="264" spans="6:7" x14ac:dyDescent="0.35">
      <c r="F264" t="s">
        <v>43</v>
      </c>
      <c r="G264" t="str">
        <f t="shared" si="6"/>
        <v>BIG10</v>
      </c>
    </row>
    <row r="265" spans="6:7" x14ac:dyDescent="0.35">
      <c r="F265" t="s">
        <v>52</v>
      </c>
      <c r="G265" t="str">
        <f t="shared" si="6"/>
        <v>BIG12</v>
      </c>
    </row>
    <row r="266" spans="6:7" x14ac:dyDescent="0.35">
      <c r="F266" t="s">
        <v>57</v>
      </c>
      <c r="G266" t="str">
        <f t="shared" si="6"/>
        <v>BIG12</v>
      </c>
    </row>
    <row r="267" spans="6:7" x14ac:dyDescent="0.35">
      <c r="F267" t="s">
        <v>50</v>
      </c>
      <c r="G267" t="str">
        <f t="shared" si="6"/>
        <v>ACC</v>
      </c>
    </row>
    <row r="268" spans="6:7" x14ac:dyDescent="0.35">
      <c r="F268" t="s">
        <v>48</v>
      </c>
      <c r="G268" t="str">
        <f t="shared" si="6"/>
        <v>SEC</v>
      </c>
    </row>
    <row r="269" spans="6:7" x14ac:dyDescent="0.35">
      <c r="F269" t="s">
        <v>51</v>
      </c>
      <c r="G269" t="str">
        <f t="shared" si="6"/>
        <v>SEC</v>
      </c>
    </row>
    <row r="270" spans="6:7" x14ac:dyDescent="0.35">
      <c r="F270" t="s">
        <v>42</v>
      </c>
      <c r="G270" t="str">
        <f t="shared" si="6"/>
        <v>SEC</v>
      </c>
    </row>
    <row r="271" spans="6:7" x14ac:dyDescent="0.35">
      <c r="F271" t="s">
        <v>38</v>
      </c>
      <c r="G271" t="str">
        <f t="shared" si="6"/>
        <v>ACC</v>
      </c>
    </row>
    <row r="272" spans="6:7" x14ac:dyDescent="0.35">
      <c r="F272" t="s">
        <v>41</v>
      </c>
      <c r="G272" t="str">
        <f t="shared" si="6"/>
        <v>BIG10</v>
      </c>
    </row>
    <row r="273" spans="6:7" x14ac:dyDescent="0.35">
      <c r="F273" t="s">
        <v>43</v>
      </c>
      <c r="G273" t="str">
        <f t="shared" si="6"/>
        <v>BIG10</v>
      </c>
    </row>
    <row r="274" spans="6:7" x14ac:dyDescent="0.35">
      <c r="F274" t="s">
        <v>44</v>
      </c>
      <c r="G274" t="str">
        <f t="shared" si="6"/>
        <v>Indep</v>
      </c>
    </row>
    <row r="275" spans="6:7" x14ac:dyDescent="0.35">
      <c r="F275" t="s">
        <v>47</v>
      </c>
      <c r="G275" t="str">
        <f t="shared" si="6"/>
        <v>SEC</v>
      </c>
    </row>
    <row r="276" spans="6:7" x14ac:dyDescent="0.35">
      <c r="F276" t="s">
        <v>46</v>
      </c>
      <c r="G276" t="str">
        <f t="shared" si="6"/>
        <v>SEC</v>
      </c>
    </row>
    <row r="277" spans="6:7" x14ac:dyDescent="0.35">
      <c r="F277" t="s">
        <v>60</v>
      </c>
      <c r="G277" t="str">
        <f t="shared" si="6"/>
        <v>BIG10</v>
      </c>
    </row>
    <row r="278" spans="6:7" x14ac:dyDescent="0.35">
      <c r="F278" t="s">
        <v>57</v>
      </c>
      <c r="G278" t="str">
        <f t="shared" si="6"/>
        <v>BIG12</v>
      </c>
    </row>
    <row r="279" spans="6:7" x14ac:dyDescent="0.35">
      <c r="F279" t="s">
        <v>74</v>
      </c>
      <c r="G279" t="str">
        <f t="shared" si="6"/>
        <v>G5</v>
      </c>
    </row>
    <row r="280" spans="6:7" x14ac:dyDescent="0.35">
      <c r="F280" t="s">
        <v>41</v>
      </c>
      <c r="G280" t="str">
        <f t="shared" si="6"/>
        <v>BIG10</v>
      </c>
    </row>
    <row r="281" spans="6:7" x14ac:dyDescent="0.35">
      <c r="F281" t="s">
        <v>40</v>
      </c>
      <c r="G281" t="str">
        <f t="shared" si="6"/>
        <v>SEC</v>
      </c>
    </row>
    <row r="282" spans="6:7" x14ac:dyDescent="0.35">
      <c r="F282" t="s">
        <v>50</v>
      </c>
      <c r="G282" t="str">
        <f t="shared" si="6"/>
        <v>ACC</v>
      </c>
    </row>
    <row r="283" spans="6:7" x14ac:dyDescent="0.35">
      <c r="F283" t="s">
        <v>39</v>
      </c>
      <c r="G283" t="str">
        <f t="shared" si="6"/>
        <v>BIG10</v>
      </c>
    </row>
    <row r="284" spans="6:7" x14ac:dyDescent="0.35">
      <c r="F284" t="s">
        <v>42</v>
      </c>
      <c r="G284" t="str">
        <f t="shared" si="6"/>
        <v>SEC</v>
      </c>
    </row>
    <row r="285" spans="6:7" x14ac:dyDescent="0.35">
      <c r="F285" t="s">
        <v>44</v>
      </c>
      <c r="G285" t="str">
        <f t="shared" si="6"/>
        <v>Indep</v>
      </c>
    </row>
    <row r="286" spans="6:7" x14ac:dyDescent="0.35">
      <c r="F286" t="s">
        <v>47</v>
      </c>
      <c r="G286" t="str">
        <f t="shared" si="6"/>
        <v>SEC</v>
      </c>
    </row>
    <row r="287" spans="6:7" x14ac:dyDescent="0.35">
      <c r="F287" t="s">
        <v>43</v>
      </c>
      <c r="G287" t="str">
        <f t="shared" si="6"/>
        <v>BIG10</v>
      </c>
    </row>
    <row r="288" spans="6:7" x14ac:dyDescent="0.35">
      <c r="F288" t="s">
        <v>46</v>
      </c>
      <c r="G288" t="str">
        <f t="shared" si="6"/>
        <v>SEC</v>
      </c>
    </row>
    <row r="289" spans="6:7" x14ac:dyDescent="0.35">
      <c r="F289" t="s">
        <v>52</v>
      </c>
      <c r="G289" t="str">
        <f t="shared" si="6"/>
        <v>BIG12</v>
      </c>
    </row>
    <row r="290" spans="6:7" x14ac:dyDescent="0.35">
      <c r="F290" t="s">
        <v>70</v>
      </c>
      <c r="G290" t="str">
        <f t="shared" si="6"/>
        <v>SEC</v>
      </c>
    </row>
    <row r="291" spans="6:7" x14ac:dyDescent="0.35">
      <c r="F291" t="s">
        <v>53</v>
      </c>
      <c r="G291" t="str">
        <f t="shared" si="6"/>
        <v>G5</v>
      </c>
    </row>
    <row r="292" spans="6:7" x14ac:dyDescent="0.35">
      <c r="F292" t="s">
        <v>41</v>
      </c>
      <c r="G292" t="str">
        <f t="shared" si="6"/>
        <v>BIG10</v>
      </c>
    </row>
    <row r="293" spans="6:7" x14ac:dyDescent="0.35">
      <c r="F293" t="s">
        <v>50</v>
      </c>
      <c r="G293" t="str">
        <f t="shared" si="6"/>
        <v>ACC</v>
      </c>
    </row>
    <row r="294" spans="6:7" x14ac:dyDescent="0.35">
      <c r="F294" t="s">
        <v>42</v>
      </c>
      <c r="G294" t="str">
        <f t="shared" si="6"/>
        <v>SEC</v>
      </c>
    </row>
    <row r="295" spans="6:7" x14ac:dyDescent="0.35">
      <c r="F295" t="s">
        <v>43</v>
      </c>
      <c r="G295" t="str">
        <f t="shared" si="6"/>
        <v>BIG10</v>
      </c>
    </row>
    <row r="296" spans="6:7" x14ac:dyDescent="0.35">
      <c r="F296" t="s">
        <v>47</v>
      </c>
      <c r="G296" t="str">
        <f t="shared" si="6"/>
        <v>SEC</v>
      </c>
    </row>
    <row r="297" spans="6:7" x14ac:dyDescent="0.35">
      <c r="F297" t="s">
        <v>61</v>
      </c>
      <c r="G297" t="str">
        <f t="shared" si="6"/>
        <v>BIG12</v>
      </c>
    </row>
    <row r="298" spans="6:7" x14ac:dyDescent="0.35">
      <c r="F298" t="s">
        <v>46</v>
      </c>
      <c r="G298" t="str">
        <f t="shared" si="6"/>
        <v>SEC</v>
      </c>
    </row>
    <row r="299" spans="6:7" x14ac:dyDescent="0.35">
      <c r="F299" t="s">
        <v>44</v>
      </c>
      <c r="G299" t="str">
        <f t="shared" si="6"/>
        <v>Indep</v>
      </c>
    </row>
    <row r="300" spans="6:7" x14ac:dyDescent="0.35">
      <c r="F300" t="s">
        <v>86</v>
      </c>
      <c r="G300" t="str">
        <f t="shared" si="6"/>
        <v>ACC</v>
      </c>
    </row>
    <row r="301" spans="6:7" x14ac:dyDescent="0.35">
      <c r="F301" t="s">
        <v>51</v>
      </c>
      <c r="G301" t="str">
        <f t="shared" si="6"/>
        <v>SEC</v>
      </c>
    </row>
    <row r="302" spans="6:7" x14ac:dyDescent="0.35">
      <c r="F302" t="s">
        <v>74</v>
      </c>
      <c r="G302" t="str">
        <f t="shared" si="6"/>
        <v>G5</v>
      </c>
    </row>
    <row r="303" spans="6:7" x14ac:dyDescent="0.35">
      <c r="F303" t="s">
        <v>39</v>
      </c>
      <c r="G303" t="str">
        <f t="shared" si="6"/>
        <v>BIG10</v>
      </c>
    </row>
    <row r="304" spans="6:7" x14ac:dyDescent="0.35">
      <c r="F304" t="s">
        <v>41</v>
      </c>
      <c r="G304" t="str">
        <f t="shared" si="6"/>
        <v>BIG10</v>
      </c>
    </row>
    <row r="305" spans="6:7" x14ac:dyDescent="0.35">
      <c r="F305" t="s">
        <v>48</v>
      </c>
      <c r="G305" t="str">
        <f t="shared" si="6"/>
        <v>SEC</v>
      </c>
    </row>
    <row r="306" spans="6:7" x14ac:dyDescent="0.35">
      <c r="F306" t="s">
        <v>44</v>
      </c>
      <c r="G306" t="str">
        <f t="shared" si="6"/>
        <v>Indep</v>
      </c>
    </row>
    <row r="307" spans="6:7" x14ac:dyDescent="0.35">
      <c r="F307" t="s">
        <v>70</v>
      </c>
      <c r="G307" t="str">
        <f t="shared" si="6"/>
        <v>SEC</v>
      </c>
    </row>
    <row r="308" spans="6:7" x14ac:dyDescent="0.35">
      <c r="F308" t="s">
        <v>42</v>
      </c>
      <c r="G308" t="str">
        <f t="shared" si="6"/>
        <v>SEC</v>
      </c>
    </row>
    <row r="309" spans="6:7" x14ac:dyDescent="0.35">
      <c r="F309" t="s">
        <v>43</v>
      </c>
      <c r="G309" t="str">
        <f t="shared" si="6"/>
        <v>BIG10</v>
      </c>
    </row>
    <row r="310" spans="6:7" x14ac:dyDescent="0.35">
      <c r="F310" t="s">
        <v>57</v>
      </c>
      <c r="G310" t="str">
        <f t="shared" si="6"/>
        <v>BIG12</v>
      </c>
    </row>
    <row r="311" spans="6:7" x14ac:dyDescent="0.35">
      <c r="F311" t="s">
        <v>47</v>
      </c>
      <c r="G311" t="str">
        <f t="shared" si="6"/>
        <v>SEC</v>
      </c>
    </row>
    <row r="312" spans="6:7" x14ac:dyDescent="0.35">
      <c r="F312" t="s">
        <v>50</v>
      </c>
      <c r="G312" t="str">
        <f t="shared" si="6"/>
        <v>ACC</v>
      </c>
    </row>
    <row r="313" spans="6:7" x14ac:dyDescent="0.35">
      <c r="F313" t="s">
        <v>46</v>
      </c>
      <c r="G313" t="str">
        <f t="shared" si="6"/>
        <v>SEC</v>
      </c>
    </row>
    <row r="314" spans="6:7" x14ac:dyDescent="0.35">
      <c r="F314" t="s">
        <v>52</v>
      </c>
      <c r="G314" t="str">
        <f t="shared" si="6"/>
        <v>BIG12</v>
      </c>
    </row>
    <row r="315" spans="6:7" x14ac:dyDescent="0.35">
      <c r="F315" t="s">
        <v>62</v>
      </c>
      <c r="G315" t="str">
        <f t="shared" si="6"/>
        <v>G5</v>
      </c>
    </row>
    <row r="316" spans="6:7" x14ac:dyDescent="0.35">
      <c r="F316" t="s">
        <v>41</v>
      </c>
      <c r="G316" t="str">
        <f t="shared" si="6"/>
        <v>BIG10</v>
      </c>
    </row>
    <row r="317" spans="6:7" x14ac:dyDescent="0.35">
      <c r="F317" t="s">
        <v>50</v>
      </c>
      <c r="G317" t="str">
        <f t="shared" si="6"/>
        <v>ACC</v>
      </c>
    </row>
    <row r="318" spans="6:7" x14ac:dyDescent="0.35">
      <c r="F318" t="s">
        <v>48</v>
      </c>
      <c r="G318" t="str">
        <f t="shared" si="6"/>
        <v>SEC</v>
      </c>
    </row>
    <row r="319" spans="6:7" x14ac:dyDescent="0.35">
      <c r="F319" t="s">
        <v>52</v>
      </c>
      <c r="G319" t="str">
        <f t="shared" si="6"/>
        <v>BIG12</v>
      </c>
    </row>
    <row r="320" spans="6:7" x14ac:dyDescent="0.35">
      <c r="F320" t="s">
        <v>43</v>
      </c>
      <c r="G320" t="str">
        <f t="shared" si="6"/>
        <v>BIG10</v>
      </c>
    </row>
    <row r="321" spans="6:7" x14ac:dyDescent="0.35">
      <c r="F321" t="s">
        <v>47</v>
      </c>
      <c r="G321" t="str">
        <f t="shared" si="6"/>
        <v>SEC</v>
      </c>
    </row>
    <row r="322" spans="6:7" x14ac:dyDescent="0.35">
      <c r="F322" t="s">
        <v>42</v>
      </c>
      <c r="G322" t="str">
        <f t="shared" si="6"/>
        <v>SEC</v>
      </c>
    </row>
    <row r="323" spans="6:7" x14ac:dyDescent="0.35">
      <c r="F323" t="s">
        <v>51</v>
      </c>
      <c r="G323" t="str">
        <f t="shared" si="6"/>
        <v>SEC</v>
      </c>
    </row>
    <row r="324" spans="6:7" x14ac:dyDescent="0.35">
      <c r="F324" t="s">
        <v>44</v>
      </c>
      <c r="G324" t="str">
        <f t="shared" si="6"/>
        <v>Indep</v>
      </c>
    </row>
    <row r="325" spans="6:7" x14ac:dyDescent="0.35">
      <c r="F325" t="s">
        <v>49</v>
      </c>
      <c r="G325" t="str">
        <f t="shared" ref="G325:G388" si="7">VLOOKUP(F325,$C$4:$D$42,2,FALSE)</f>
        <v>G5</v>
      </c>
    </row>
    <row r="326" spans="6:7" x14ac:dyDescent="0.35">
      <c r="F326" t="s">
        <v>39</v>
      </c>
      <c r="G326" t="str">
        <f t="shared" si="7"/>
        <v>BIG10</v>
      </c>
    </row>
    <row r="327" spans="6:7" x14ac:dyDescent="0.35">
      <c r="F327" t="s">
        <v>38</v>
      </c>
      <c r="G327" t="str">
        <f t="shared" si="7"/>
        <v>ACC</v>
      </c>
    </row>
    <row r="328" spans="6:7" x14ac:dyDescent="0.35">
      <c r="F328" t="s">
        <v>43</v>
      </c>
      <c r="G328" t="str">
        <f t="shared" si="7"/>
        <v>BIG10</v>
      </c>
    </row>
    <row r="329" spans="6:7" x14ac:dyDescent="0.35">
      <c r="F329" t="s">
        <v>54</v>
      </c>
      <c r="G329" t="str">
        <f t="shared" si="7"/>
        <v>SEC</v>
      </c>
    </row>
    <row r="330" spans="6:7" x14ac:dyDescent="0.35">
      <c r="F330" t="s">
        <v>80</v>
      </c>
      <c r="G330" t="str">
        <f t="shared" si="7"/>
        <v>BIG10</v>
      </c>
    </row>
    <row r="331" spans="6:7" x14ac:dyDescent="0.35">
      <c r="F331" t="s">
        <v>84</v>
      </c>
      <c r="G331" t="str">
        <f t="shared" si="7"/>
        <v>BIG12</v>
      </c>
    </row>
    <row r="332" spans="6:7" x14ac:dyDescent="0.35">
      <c r="F332" t="s">
        <v>49</v>
      </c>
      <c r="G332" t="str">
        <f t="shared" si="7"/>
        <v>G5</v>
      </c>
    </row>
    <row r="333" spans="6:7" x14ac:dyDescent="0.35">
      <c r="F333" t="s">
        <v>41</v>
      </c>
      <c r="G333" t="str">
        <f t="shared" si="7"/>
        <v>BIG10</v>
      </c>
    </row>
    <row r="334" spans="6:7" x14ac:dyDescent="0.35">
      <c r="F334" t="s">
        <v>42</v>
      </c>
      <c r="G334" t="str">
        <f t="shared" si="7"/>
        <v>SEC</v>
      </c>
    </row>
    <row r="335" spans="6:7" x14ac:dyDescent="0.35">
      <c r="F335" t="s">
        <v>50</v>
      </c>
      <c r="G335" t="str">
        <f t="shared" si="7"/>
        <v>ACC</v>
      </c>
    </row>
    <row r="336" spans="6:7" x14ac:dyDescent="0.35">
      <c r="F336" t="s">
        <v>58</v>
      </c>
      <c r="G336" t="str">
        <f t="shared" si="7"/>
        <v>SEC</v>
      </c>
    </row>
    <row r="337" spans="6:7" x14ac:dyDescent="0.35">
      <c r="F337" t="s">
        <v>44</v>
      </c>
      <c r="G337" t="str">
        <f t="shared" si="7"/>
        <v>Indep</v>
      </c>
    </row>
    <row r="338" spans="6:7" x14ac:dyDescent="0.35">
      <c r="F338" t="s">
        <v>85</v>
      </c>
      <c r="G338" t="str">
        <f t="shared" si="7"/>
        <v>G5</v>
      </c>
    </row>
    <row r="339" spans="6:7" x14ac:dyDescent="0.35">
      <c r="F339" t="s">
        <v>64</v>
      </c>
      <c r="G339" t="str">
        <f t="shared" si="7"/>
        <v>BIG12</v>
      </c>
    </row>
    <row r="340" spans="6:7" x14ac:dyDescent="0.35">
      <c r="F340" t="s">
        <v>50</v>
      </c>
      <c r="G340" t="str">
        <f t="shared" si="7"/>
        <v>ACC</v>
      </c>
    </row>
    <row r="341" spans="6:7" x14ac:dyDescent="0.35">
      <c r="F341" t="s">
        <v>41</v>
      </c>
      <c r="G341" t="str">
        <f t="shared" si="7"/>
        <v>BIG10</v>
      </c>
    </row>
    <row r="342" spans="6:7" x14ac:dyDescent="0.35">
      <c r="F342" t="s">
        <v>42</v>
      </c>
      <c r="G342" t="str">
        <f t="shared" si="7"/>
        <v>SEC</v>
      </c>
    </row>
    <row r="343" spans="6:7" x14ac:dyDescent="0.35">
      <c r="F343" t="s">
        <v>43</v>
      </c>
      <c r="G343" t="str">
        <f t="shared" si="7"/>
        <v>BIG10</v>
      </c>
    </row>
    <row r="344" spans="6:7" x14ac:dyDescent="0.35">
      <c r="F344" t="s">
        <v>60</v>
      </c>
      <c r="G344" t="str">
        <f t="shared" si="7"/>
        <v>BIG10</v>
      </c>
    </row>
    <row r="345" spans="6:7" x14ac:dyDescent="0.35">
      <c r="F345" t="s">
        <v>61</v>
      </c>
      <c r="G345" t="str">
        <f t="shared" si="7"/>
        <v>BIG12</v>
      </c>
    </row>
    <row r="346" spans="6:7" x14ac:dyDescent="0.35">
      <c r="F346" t="s">
        <v>47</v>
      </c>
      <c r="G346" t="str">
        <f t="shared" si="7"/>
        <v>SEC</v>
      </c>
    </row>
    <row r="347" spans="6:7" x14ac:dyDescent="0.35">
      <c r="F347" t="s">
        <v>70</v>
      </c>
      <c r="G347" t="str">
        <f t="shared" si="7"/>
        <v>SEC</v>
      </c>
    </row>
    <row r="348" spans="6:7" x14ac:dyDescent="0.35">
      <c r="F348" t="s">
        <v>44</v>
      </c>
      <c r="G348" t="str">
        <f t="shared" si="7"/>
        <v>Indep</v>
      </c>
    </row>
    <row r="349" spans="6:7" x14ac:dyDescent="0.35">
      <c r="F349" t="s">
        <v>62</v>
      </c>
      <c r="G349" t="str">
        <f t="shared" si="7"/>
        <v>G5</v>
      </c>
    </row>
    <row r="350" spans="6:7" x14ac:dyDescent="0.35">
      <c r="F350" t="s">
        <v>40</v>
      </c>
      <c r="G350" t="str">
        <f t="shared" si="7"/>
        <v>SEC</v>
      </c>
    </row>
    <row r="351" spans="6:7" x14ac:dyDescent="0.35">
      <c r="F351" t="s">
        <v>64</v>
      </c>
      <c r="G351" t="str">
        <f t="shared" si="7"/>
        <v>BIG12</v>
      </c>
    </row>
    <row r="352" spans="6:7" x14ac:dyDescent="0.35">
      <c r="F352" t="s">
        <v>41</v>
      </c>
      <c r="G352" t="str">
        <f t="shared" si="7"/>
        <v>BIG10</v>
      </c>
    </row>
    <row r="353" spans="6:7" x14ac:dyDescent="0.35">
      <c r="F353" t="s">
        <v>43</v>
      </c>
      <c r="G353" t="str">
        <f t="shared" si="7"/>
        <v>BIG10</v>
      </c>
    </row>
    <row r="354" spans="6:7" x14ac:dyDescent="0.35">
      <c r="F354" t="s">
        <v>42</v>
      </c>
      <c r="G354" t="str">
        <f t="shared" si="7"/>
        <v>SEC</v>
      </c>
    </row>
    <row r="355" spans="6:7" x14ac:dyDescent="0.35">
      <c r="F355" t="s">
        <v>50</v>
      </c>
      <c r="G355" t="str">
        <f t="shared" si="7"/>
        <v>ACC</v>
      </c>
    </row>
    <row r="356" spans="6:7" x14ac:dyDescent="0.35">
      <c r="F356" t="s">
        <v>53</v>
      </c>
      <c r="G356" t="str">
        <f t="shared" si="7"/>
        <v>G5</v>
      </c>
    </row>
    <row r="357" spans="6:7" x14ac:dyDescent="0.35">
      <c r="F357" t="s">
        <v>80</v>
      </c>
      <c r="G357" t="str">
        <f t="shared" si="7"/>
        <v>BIG10</v>
      </c>
    </row>
    <row r="358" spans="6:7" x14ac:dyDescent="0.35">
      <c r="F358" t="s">
        <v>46</v>
      </c>
      <c r="G358" t="str">
        <f t="shared" si="7"/>
        <v>SEC</v>
      </c>
    </row>
    <row r="359" spans="6:7" x14ac:dyDescent="0.35">
      <c r="F359" t="s">
        <v>47</v>
      </c>
      <c r="G359" t="str">
        <f t="shared" si="7"/>
        <v>SEC</v>
      </c>
    </row>
    <row r="360" spans="6:7" x14ac:dyDescent="0.35">
      <c r="F360" t="s">
        <v>52</v>
      </c>
      <c r="G360" t="str">
        <f t="shared" si="7"/>
        <v>BIG12</v>
      </c>
    </row>
    <row r="361" spans="6:7" x14ac:dyDescent="0.35">
      <c r="F361" t="s">
        <v>44</v>
      </c>
      <c r="G361" t="str">
        <f t="shared" si="7"/>
        <v>Indep</v>
      </c>
    </row>
    <row r="362" spans="6:7" x14ac:dyDescent="0.35">
      <c r="F362" t="s">
        <v>40</v>
      </c>
      <c r="G362" t="str">
        <f t="shared" si="7"/>
        <v>SEC</v>
      </c>
    </row>
    <row r="363" spans="6:7" x14ac:dyDescent="0.35">
      <c r="F363" t="s">
        <v>39</v>
      </c>
      <c r="G363" t="str">
        <f t="shared" si="7"/>
        <v>BIG10</v>
      </c>
    </row>
    <row r="364" spans="6:7" x14ac:dyDescent="0.35">
      <c r="F364" t="s">
        <v>39</v>
      </c>
      <c r="G364" t="str">
        <f t="shared" si="7"/>
        <v>BIG10</v>
      </c>
    </row>
    <row r="365" spans="6:7" x14ac:dyDescent="0.35">
      <c r="F365" t="s">
        <v>38</v>
      </c>
      <c r="G365" t="str">
        <f t="shared" si="7"/>
        <v>ACC</v>
      </c>
    </row>
    <row r="366" spans="6:7" x14ac:dyDescent="0.35">
      <c r="F366" t="s">
        <v>40</v>
      </c>
      <c r="G366" t="str">
        <f t="shared" si="7"/>
        <v>SEC</v>
      </c>
    </row>
    <row r="367" spans="6:7" x14ac:dyDescent="0.35">
      <c r="F367" t="s">
        <v>41</v>
      </c>
      <c r="G367" t="str">
        <f t="shared" si="7"/>
        <v>BIG10</v>
      </c>
    </row>
    <row r="368" spans="6:7" x14ac:dyDescent="0.35">
      <c r="F368" t="s">
        <v>46</v>
      </c>
      <c r="G368" t="str">
        <f t="shared" si="7"/>
        <v>SEC</v>
      </c>
    </row>
    <row r="369" spans="6:7" x14ac:dyDescent="0.35">
      <c r="F369" t="s">
        <v>43</v>
      </c>
      <c r="G369" t="str">
        <f t="shared" si="7"/>
        <v>BIG10</v>
      </c>
    </row>
    <row r="370" spans="6:7" x14ac:dyDescent="0.35">
      <c r="F370" t="s">
        <v>44</v>
      </c>
      <c r="G370" t="str">
        <f t="shared" si="7"/>
        <v>Indep</v>
      </c>
    </row>
    <row r="371" spans="6:7" x14ac:dyDescent="0.35">
      <c r="F371" t="s">
        <v>47</v>
      </c>
      <c r="G371" t="str">
        <f t="shared" si="7"/>
        <v>SEC</v>
      </c>
    </row>
    <row r="372" spans="6:7" x14ac:dyDescent="0.35">
      <c r="F372" t="s">
        <v>64</v>
      </c>
      <c r="G372" t="str">
        <f t="shared" si="7"/>
        <v>BIG12</v>
      </c>
    </row>
    <row r="373" spans="6:7" x14ac:dyDescent="0.35">
      <c r="F373" t="s">
        <v>60</v>
      </c>
      <c r="G373" t="str">
        <f t="shared" si="7"/>
        <v>BIG10</v>
      </c>
    </row>
    <row r="374" spans="6:7" x14ac:dyDescent="0.35">
      <c r="F374" t="s">
        <v>58</v>
      </c>
      <c r="G374" t="str">
        <f t="shared" si="7"/>
        <v>SEC</v>
      </c>
    </row>
    <row r="375" spans="6:7" x14ac:dyDescent="0.35">
      <c r="F375" t="s">
        <v>52</v>
      </c>
      <c r="G375" t="str">
        <f t="shared" si="7"/>
        <v>BIG12</v>
      </c>
    </row>
    <row r="376" spans="6:7" x14ac:dyDescent="0.35">
      <c r="F376" t="s">
        <v>38</v>
      </c>
      <c r="G376" t="str">
        <f t="shared" si="7"/>
        <v>ACC</v>
      </c>
    </row>
    <row r="377" spans="6:7" x14ac:dyDescent="0.35">
      <c r="F377" t="s">
        <v>40</v>
      </c>
      <c r="G377" t="str">
        <f t="shared" si="7"/>
        <v>SEC</v>
      </c>
    </row>
    <row r="378" spans="6:7" x14ac:dyDescent="0.35">
      <c r="F378" t="s">
        <v>41</v>
      </c>
      <c r="G378" t="str">
        <f t="shared" si="7"/>
        <v>BIG10</v>
      </c>
    </row>
    <row r="379" spans="6:7" x14ac:dyDescent="0.35">
      <c r="F379" t="s">
        <v>52</v>
      </c>
      <c r="G379" t="str">
        <f t="shared" si="7"/>
        <v>BIG12</v>
      </c>
    </row>
    <row r="380" spans="6:7" x14ac:dyDescent="0.35">
      <c r="F380" t="s">
        <v>39</v>
      </c>
      <c r="G380" t="str">
        <f t="shared" si="7"/>
        <v>BIG10</v>
      </c>
    </row>
    <row r="381" spans="6:7" x14ac:dyDescent="0.35">
      <c r="F381" t="s">
        <v>44</v>
      </c>
      <c r="G381" t="str">
        <f t="shared" si="7"/>
        <v>Indep</v>
      </c>
    </row>
    <row r="382" spans="6:7" x14ac:dyDescent="0.35">
      <c r="F382" t="s">
        <v>42</v>
      </c>
      <c r="G382" t="str">
        <f t="shared" si="7"/>
        <v>SEC</v>
      </c>
    </row>
    <row r="383" spans="6:7" x14ac:dyDescent="0.35">
      <c r="F383" t="s">
        <v>47</v>
      </c>
      <c r="G383" t="str">
        <f t="shared" si="7"/>
        <v>SEC</v>
      </c>
    </row>
    <row r="384" spans="6:7" x14ac:dyDescent="0.35">
      <c r="F384" t="s">
        <v>43</v>
      </c>
      <c r="G384" t="str">
        <f t="shared" si="7"/>
        <v>BIG10</v>
      </c>
    </row>
    <row r="385" spans="6:7" x14ac:dyDescent="0.35">
      <c r="F385" t="s">
        <v>46</v>
      </c>
      <c r="G385" t="str">
        <f t="shared" si="7"/>
        <v>SEC</v>
      </c>
    </row>
    <row r="386" spans="6:7" x14ac:dyDescent="0.35">
      <c r="F386" t="s">
        <v>50</v>
      </c>
      <c r="G386" t="str">
        <f t="shared" si="7"/>
        <v>ACC</v>
      </c>
    </row>
    <row r="387" spans="6:7" x14ac:dyDescent="0.35">
      <c r="F387" t="s">
        <v>62</v>
      </c>
      <c r="G387" t="str">
        <f t="shared" si="7"/>
        <v>G5</v>
      </c>
    </row>
    <row r="388" spans="6:7" x14ac:dyDescent="0.35">
      <c r="F388" t="s">
        <v>50</v>
      </c>
      <c r="G388" t="str">
        <f t="shared" si="7"/>
        <v>ACC</v>
      </c>
    </row>
    <row r="389" spans="6:7" x14ac:dyDescent="0.35">
      <c r="F389" t="s">
        <v>41</v>
      </c>
      <c r="G389" t="str">
        <f t="shared" ref="G389:G399" si="8">VLOOKUP(F389,$C$4:$D$42,2,FALSE)</f>
        <v>BIG10</v>
      </c>
    </row>
    <row r="390" spans="6:7" x14ac:dyDescent="0.35">
      <c r="F390" t="s">
        <v>70</v>
      </c>
      <c r="G390" t="str">
        <f t="shared" si="8"/>
        <v>SEC</v>
      </c>
    </row>
    <row r="391" spans="6:7" x14ac:dyDescent="0.35">
      <c r="F391" t="s">
        <v>43</v>
      </c>
      <c r="G391" t="str">
        <f t="shared" si="8"/>
        <v>BIG10</v>
      </c>
    </row>
    <row r="392" spans="6:7" x14ac:dyDescent="0.35">
      <c r="F392" t="s">
        <v>46</v>
      </c>
      <c r="G392" t="str">
        <f t="shared" si="8"/>
        <v>SEC</v>
      </c>
    </row>
    <row r="393" spans="6:7" x14ac:dyDescent="0.35">
      <c r="F393" t="s">
        <v>42</v>
      </c>
      <c r="G393" t="str">
        <f t="shared" si="8"/>
        <v>SEC</v>
      </c>
    </row>
    <row r="394" spans="6:7" x14ac:dyDescent="0.35">
      <c r="F394" t="s">
        <v>47</v>
      </c>
      <c r="G394" t="str">
        <f t="shared" si="8"/>
        <v>SEC</v>
      </c>
    </row>
    <row r="395" spans="6:7" x14ac:dyDescent="0.35">
      <c r="F395" t="s">
        <v>44</v>
      </c>
      <c r="G395" t="str">
        <f t="shared" si="8"/>
        <v>Indep</v>
      </c>
    </row>
    <row r="396" spans="6:7" x14ac:dyDescent="0.35">
      <c r="F396" t="s">
        <v>40</v>
      </c>
      <c r="G396" t="str">
        <f t="shared" si="8"/>
        <v>SEC</v>
      </c>
    </row>
    <row r="397" spans="6:7" x14ac:dyDescent="0.35">
      <c r="F397" t="s">
        <v>39</v>
      </c>
      <c r="G397" t="str">
        <f t="shared" si="8"/>
        <v>BIG10</v>
      </c>
    </row>
    <row r="398" spans="6:7" x14ac:dyDescent="0.35">
      <c r="F398" t="s">
        <v>52</v>
      </c>
      <c r="G398" t="str">
        <f t="shared" si="8"/>
        <v>BIG12</v>
      </c>
    </row>
    <row r="399" spans="6:7" x14ac:dyDescent="0.35">
      <c r="F399" t="s">
        <v>49</v>
      </c>
      <c r="G399" t="str">
        <f t="shared" si="8"/>
        <v>G5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3CBA1-29D6-4C92-A833-F7EC807E82F5}">
  <dimension ref="A1:AP73"/>
  <sheetViews>
    <sheetView showGridLines="0" zoomScale="86" zoomScaleNormal="86" workbookViewId="0">
      <selection activeCell="M26" sqref="M26"/>
    </sheetView>
  </sheetViews>
  <sheetFormatPr defaultRowHeight="14.5" x14ac:dyDescent="0.35"/>
  <cols>
    <col min="1" max="1" width="4.26953125" customWidth="1"/>
    <col min="2" max="2" width="11" bestFit="1" customWidth="1"/>
    <col min="3" max="3" width="11.81640625" bestFit="1" customWidth="1"/>
    <col min="4" max="6" width="10.6328125" bestFit="1" customWidth="1"/>
    <col min="7" max="7" width="13.36328125" bestFit="1" customWidth="1"/>
    <col min="8" max="9" width="10.6328125" bestFit="1" customWidth="1"/>
    <col min="10" max="10" width="12.453125" bestFit="1" customWidth="1"/>
    <col min="11" max="11" width="13.08984375" bestFit="1" customWidth="1"/>
    <col min="12" max="13" width="10.6328125" bestFit="1" customWidth="1"/>
    <col min="14" max="14" width="13.7265625" bestFit="1" customWidth="1"/>
    <col min="15" max="15" width="13.6328125" bestFit="1" customWidth="1"/>
    <col min="16" max="16" width="14.36328125" bestFit="1" customWidth="1"/>
    <col min="17" max="17" width="11.08984375" bestFit="1" customWidth="1"/>
    <col min="18" max="18" width="10.6328125" bestFit="1" customWidth="1"/>
    <col min="19" max="19" width="16.54296875" bestFit="1" customWidth="1"/>
    <col min="20" max="20" width="13.7265625" bestFit="1" customWidth="1"/>
    <col min="21" max="21" width="13.1796875" bestFit="1" customWidth="1"/>
    <col min="22" max="22" width="10.54296875" bestFit="1" customWidth="1"/>
    <col min="23" max="23" width="13.08984375" bestFit="1" customWidth="1"/>
    <col min="24" max="24" width="11.453125" bestFit="1" customWidth="1"/>
    <col min="25" max="25" width="13.7265625" bestFit="1" customWidth="1"/>
    <col min="26" max="26" width="11.36328125" bestFit="1" customWidth="1"/>
    <col min="27" max="27" width="12.6328125" bestFit="1" customWidth="1"/>
    <col min="28" max="28" width="11.36328125" bestFit="1" customWidth="1"/>
    <col min="29" max="29" width="11.453125" bestFit="1" customWidth="1"/>
    <col min="30" max="31" width="12.6328125" bestFit="1" customWidth="1"/>
    <col min="32" max="32" width="13.36328125" bestFit="1" customWidth="1"/>
    <col min="33" max="36" width="12.6328125" bestFit="1" customWidth="1"/>
    <col min="40" max="40" width="10.54296875" bestFit="1" customWidth="1"/>
    <col min="41" max="41" width="16.54296875" bestFit="1" customWidth="1"/>
  </cols>
  <sheetData>
    <row r="1" spans="1:36" ht="7.5" customHeight="1" x14ac:dyDescent="0.35">
      <c r="K1" t="s">
        <v>121</v>
      </c>
    </row>
    <row r="2" spans="1:36" x14ac:dyDescent="0.35">
      <c r="B2" s="3" t="s">
        <v>28</v>
      </c>
      <c r="C2" s="1">
        <f>COUNTA(D6:XFD6)</f>
        <v>16</v>
      </c>
      <c r="F2" t="s">
        <v>31</v>
      </c>
      <c r="H2" t="s">
        <v>73</v>
      </c>
      <c r="K2" t="s">
        <v>122</v>
      </c>
    </row>
    <row r="3" spans="1:36" x14ac:dyDescent="0.35">
      <c r="B3" s="3" t="s">
        <v>37</v>
      </c>
      <c r="C3" s="1">
        <f>COUNTA(D7:XFD7)</f>
        <v>0</v>
      </c>
      <c r="F3" t="s">
        <v>72</v>
      </c>
      <c r="H3" s="15" t="s">
        <v>130</v>
      </c>
      <c r="K3" t="s">
        <v>123</v>
      </c>
    </row>
    <row r="4" spans="1:36" x14ac:dyDescent="0.35">
      <c r="B4" s="3" t="s">
        <v>5</v>
      </c>
      <c r="C4" s="4">
        <f>5*C3</f>
        <v>0</v>
      </c>
      <c r="F4" t="s">
        <v>131</v>
      </c>
      <c r="K4" t="s">
        <v>124</v>
      </c>
    </row>
    <row r="5" spans="1:36" x14ac:dyDescent="0.35">
      <c r="K5" t="s">
        <v>125</v>
      </c>
    </row>
    <row r="6" spans="1:36" s="9" customFormat="1" x14ac:dyDescent="0.35">
      <c r="A6"/>
      <c r="B6"/>
      <c r="C6" s="2" t="s">
        <v>1</v>
      </c>
      <c r="D6" s="8" t="s">
        <v>2</v>
      </c>
      <c r="E6" s="8" t="s">
        <v>3</v>
      </c>
      <c r="F6" s="8" t="s">
        <v>4</v>
      </c>
      <c r="G6" s="24" t="s">
        <v>35</v>
      </c>
      <c r="H6" s="24" t="s">
        <v>8</v>
      </c>
      <c r="I6" s="24" t="s">
        <v>89</v>
      </c>
      <c r="J6" s="24" t="s">
        <v>128</v>
      </c>
      <c r="K6" s="24" t="s">
        <v>19</v>
      </c>
      <c r="L6" s="24" t="s">
        <v>36</v>
      </c>
      <c r="M6" s="24" t="s">
        <v>14</v>
      </c>
      <c r="N6" s="24" t="s">
        <v>17</v>
      </c>
      <c r="O6" s="24" t="s">
        <v>12</v>
      </c>
      <c r="P6" s="24" t="s">
        <v>129</v>
      </c>
      <c r="Q6" s="24" t="s">
        <v>9</v>
      </c>
      <c r="R6" s="24" t="s">
        <v>10</v>
      </c>
      <c r="S6" s="24" t="s">
        <v>25</v>
      </c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6"/>
    </row>
    <row r="7" spans="1:36" s="10" customFormat="1" x14ac:dyDescent="0.35">
      <c r="A7"/>
      <c r="B7"/>
      <c r="C7" s="2" t="s">
        <v>0</v>
      </c>
      <c r="D7" s="5"/>
      <c r="E7" s="5"/>
      <c r="F7" s="5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spans="1:36" x14ac:dyDescent="0.35">
      <c r="B8" s="23" t="s">
        <v>30</v>
      </c>
      <c r="C8" s="2">
        <v>1</v>
      </c>
      <c r="D8" s="26" t="s">
        <v>44</v>
      </c>
      <c r="E8" s="26" t="s">
        <v>40</v>
      </c>
      <c r="F8" s="26" t="s">
        <v>43</v>
      </c>
      <c r="G8" s="26" t="s">
        <v>43</v>
      </c>
      <c r="H8" s="30" t="s">
        <v>43</v>
      </c>
      <c r="I8" s="30" t="s">
        <v>40</v>
      </c>
      <c r="J8" s="30" t="s">
        <v>41</v>
      </c>
      <c r="K8" s="26" t="s">
        <v>42</v>
      </c>
      <c r="L8" s="26" t="s">
        <v>41</v>
      </c>
      <c r="M8" s="26" t="s">
        <v>41</v>
      </c>
      <c r="N8" s="26" t="s">
        <v>43</v>
      </c>
      <c r="O8" s="26" t="s">
        <v>80</v>
      </c>
      <c r="P8" s="26" t="s">
        <v>43</v>
      </c>
      <c r="Q8" s="26" t="s">
        <v>41</v>
      </c>
      <c r="R8" s="30" t="s">
        <v>41</v>
      </c>
      <c r="S8" s="26" t="s">
        <v>41</v>
      </c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</row>
    <row r="9" spans="1:36" x14ac:dyDescent="0.35">
      <c r="B9" s="23"/>
      <c r="C9" s="2">
        <v>2</v>
      </c>
      <c r="D9" s="26" t="s">
        <v>40</v>
      </c>
      <c r="E9" s="26" t="s">
        <v>41</v>
      </c>
      <c r="F9" s="26" t="s">
        <v>42</v>
      </c>
      <c r="G9" s="26" t="s">
        <v>42</v>
      </c>
      <c r="H9" s="26" t="s">
        <v>50</v>
      </c>
      <c r="I9" s="26" t="s">
        <v>44</v>
      </c>
      <c r="J9" s="26" t="s">
        <v>40</v>
      </c>
      <c r="K9" s="30" t="s">
        <v>44</v>
      </c>
      <c r="L9" s="26" t="s">
        <v>40</v>
      </c>
      <c r="M9" s="26" t="s">
        <v>44</v>
      </c>
      <c r="N9" s="30" t="s">
        <v>40</v>
      </c>
      <c r="O9" s="26" t="s">
        <v>41</v>
      </c>
      <c r="P9" s="26" t="s">
        <v>41</v>
      </c>
      <c r="Q9" s="26" t="s">
        <v>43</v>
      </c>
      <c r="R9" s="26" t="s">
        <v>42</v>
      </c>
      <c r="S9" s="30" t="s">
        <v>44</v>
      </c>
      <c r="T9" s="26"/>
      <c r="U9" s="26"/>
      <c r="V9" s="26"/>
      <c r="W9" s="26"/>
      <c r="X9" s="26"/>
      <c r="Y9" s="26"/>
      <c r="Z9" s="26"/>
      <c r="AA9" s="28"/>
      <c r="AB9" s="26"/>
      <c r="AC9" s="26"/>
      <c r="AD9" s="26"/>
      <c r="AE9" s="26"/>
      <c r="AF9" s="26"/>
      <c r="AG9" s="26"/>
      <c r="AH9" s="26"/>
      <c r="AI9" s="26"/>
      <c r="AJ9" s="26"/>
    </row>
    <row r="10" spans="1:36" x14ac:dyDescent="0.35">
      <c r="B10" s="23"/>
      <c r="C10" s="2">
        <v>3</v>
      </c>
      <c r="D10" s="26" t="s">
        <v>41</v>
      </c>
      <c r="E10" s="26" t="s">
        <v>44</v>
      </c>
      <c r="F10" s="26" t="s">
        <v>41</v>
      </c>
      <c r="G10" s="26" t="s">
        <v>50</v>
      </c>
      <c r="H10" s="26" t="s">
        <v>44</v>
      </c>
      <c r="I10" s="26" t="s">
        <v>41</v>
      </c>
      <c r="J10" s="26" t="s">
        <v>50</v>
      </c>
      <c r="K10" s="26" t="s">
        <v>41</v>
      </c>
      <c r="L10" s="26" t="s">
        <v>44</v>
      </c>
      <c r="M10" s="26" t="s">
        <v>42</v>
      </c>
      <c r="N10" s="26" t="s">
        <v>44</v>
      </c>
      <c r="O10" s="26" t="s">
        <v>44</v>
      </c>
      <c r="P10" s="26" t="s">
        <v>42</v>
      </c>
      <c r="Q10" s="26" t="s">
        <v>42</v>
      </c>
      <c r="R10" s="26" t="s">
        <v>50</v>
      </c>
      <c r="S10" s="26" t="s">
        <v>42</v>
      </c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</row>
    <row r="11" spans="1:36" x14ac:dyDescent="0.35">
      <c r="B11" s="23"/>
      <c r="C11" s="2">
        <v>4</v>
      </c>
      <c r="D11" s="30" t="s">
        <v>43</v>
      </c>
      <c r="E11" s="30" t="s">
        <v>43</v>
      </c>
      <c r="F11" s="26" t="s">
        <v>60</v>
      </c>
      <c r="G11" s="26" t="s">
        <v>41</v>
      </c>
      <c r="H11" s="26" t="s">
        <v>42</v>
      </c>
      <c r="I11" s="26" t="s">
        <v>43</v>
      </c>
      <c r="J11" s="26" t="s">
        <v>57</v>
      </c>
      <c r="K11" s="26" t="s">
        <v>43</v>
      </c>
      <c r="L11" s="30" t="s">
        <v>43</v>
      </c>
      <c r="M11" s="26" t="s">
        <v>43</v>
      </c>
      <c r="N11" s="26" t="s">
        <v>41</v>
      </c>
      <c r="O11" s="26" t="s">
        <v>43</v>
      </c>
      <c r="P11" s="26" t="s">
        <v>50</v>
      </c>
      <c r="Q11" s="26" t="s">
        <v>44</v>
      </c>
      <c r="R11" s="26" t="s">
        <v>57</v>
      </c>
      <c r="S11" s="26" t="s">
        <v>57</v>
      </c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</row>
    <row r="12" spans="1:36" x14ac:dyDescent="0.35">
      <c r="B12" s="23"/>
      <c r="C12" s="2">
        <v>5</v>
      </c>
      <c r="D12" s="26" t="s">
        <v>80</v>
      </c>
      <c r="E12" s="26" t="s">
        <v>50</v>
      </c>
      <c r="F12" s="26" t="s">
        <v>50</v>
      </c>
      <c r="G12" s="30" t="s">
        <v>40</v>
      </c>
      <c r="H12" s="26" t="s">
        <v>41</v>
      </c>
      <c r="I12" s="26" t="s">
        <v>42</v>
      </c>
      <c r="J12" s="26" t="s">
        <v>49</v>
      </c>
      <c r="K12" s="26" t="s">
        <v>80</v>
      </c>
      <c r="L12" s="26" t="s">
        <v>42</v>
      </c>
      <c r="M12" s="26" t="s">
        <v>40</v>
      </c>
      <c r="N12" s="26" t="s">
        <v>42</v>
      </c>
      <c r="O12" s="26" t="s">
        <v>42</v>
      </c>
      <c r="P12" s="26" t="s">
        <v>40</v>
      </c>
      <c r="Q12" s="26" t="s">
        <v>40</v>
      </c>
      <c r="R12" s="26" t="s">
        <v>43</v>
      </c>
      <c r="S12" s="26" t="s">
        <v>43</v>
      </c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</row>
    <row r="13" spans="1:36" x14ac:dyDescent="0.35">
      <c r="B13" s="23"/>
      <c r="C13" s="2">
        <v>6</v>
      </c>
      <c r="D13" s="26" t="s">
        <v>42</v>
      </c>
      <c r="E13" s="26" t="s">
        <v>42</v>
      </c>
      <c r="F13" s="26" t="s">
        <v>47</v>
      </c>
      <c r="G13" s="26" t="s">
        <v>44</v>
      </c>
      <c r="H13" s="26" t="s">
        <v>57</v>
      </c>
      <c r="I13" s="26" t="s">
        <v>80</v>
      </c>
      <c r="J13" s="26" t="s">
        <v>43</v>
      </c>
      <c r="K13" s="26" t="s">
        <v>57</v>
      </c>
      <c r="L13" s="26" t="s">
        <v>61</v>
      </c>
      <c r="M13" s="26" t="s">
        <v>80</v>
      </c>
      <c r="N13" s="26" t="s">
        <v>50</v>
      </c>
      <c r="O13" s="26" t="s">
        <v>50</v>
      </c>
      <c r="P13" s="26" t="s">
        <v>70</v>
      </c>
      <c r="Q13" s="26" t="s">
        <v>80</v>
      </c>
      <c r="R13" s="26" t="s">
        <v>40</v>
      </c>
      <c r="S13" s="26" t="s">
        <v>50</v>
      </c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</row>
    <row r="14" spans="1:36" x14ac:dyDescent="0.35">
      <c r="B14" s="23"/>
      <c r="C14" s="2">
        <v>7</v>
      </c>
      <c r="D14" s="26" t="s">
        <v>47</v>
      </c>
      <c r="E14" s="26" t="s">
        <v>57</v>
      </c>
      <c r="F14" s="26" t="s">
        <v>44</v>
      </c>
      <c r="G14" s="26" t="s">
        <v>61</v>
      </c>
      <c r="H14" s="26" t="s">
        <v>40</v>
      </c>
      <c r="I14" s="26" t="s">
        <v>50</v>
      </c>
      <c r="J14" s="26" t="s">
        <v>44</v>
      </c>
      <c r="K14" s="26" t="s">
        <v>50</v>
      </c>
      <c r="L14" s="26" t="s">
        <v>50</v>
      </c>
      <c r="M14" s="26" t="s">
        <v>50</v>
      </c>
      <c r="N14" s="26" t="s">
        <v>57</v>
      </c>
      <c r="O14" s="26" t="s">
        <v>51</v>
      </c>
      <c r="P14" s="26" t="s">
        <v>57</v>
      </c>
      <c r="Q14" s="26" t="s">
        <v>50</v>
      </c>
      <c r="R14" s="26" t="s">
        <v>44</v>
      </c>
      <c r="S14" s="26" t="s">
        <v>47</v>
      </c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</row>
    <row r="15" spans="1:36" x14ac:dyDescent="0.35">
      <c r="B15" s="23"/>
      <c r="C15" s="2">
        <v>8</v>
      </c>
      <c r="D15" s="26" t="s">
        <v>61</v>
      </c>
      <c r="E15" s="26" t="s">
        <v>47</v>
      </c>
      <c r="F15" s="26" t="s">
        <v>48</v>
      </c>
      <c r="G15" s="26" t="s">
        <v>56</v>
      </c>
      <c r="H15" s="26" t="s">
        <v>80</v>
      </c>
      <c r="I15" s="26" t="s">
        <v>46</v>
      </c>
      <c r="J15" s="26" t="s">
        <v>42</v>
      </c>
      <c r="K15" s="26" t="s">
        <v>61</v>
      </c>
      <c r="L15" s="26" t="s">
        <v>80</v>
      </c>
      <c r="M15" s="26" t="s">
        <v>57</v>
      </c>
      <c r="N15" s="26" t="s">
        <v>80</v>
      </c>
      <c r="O15" s="26" t="s">
        <v>40</v>
      </c>
      <c r="P15" s="26" t="s">
        <v>44</v>
      </c>
      <c r="Q15" s="26" t="s">
        <v>57</v>
      </c>
      <c r="R15" s="26" t="s">
        <v>80</v>
      </c>
      <c r="S15" s="26" t="s">
        <v>46</v>
      </c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</row>
    <row r="16" spans="1:36" x14ac:dyDescent="0.35">
      <c r="B16" s="23"/>
      <c r="C16" s="2">
        <v>9</v>
      </c>
      <c r="D16" s="26" t="s">
        <v>70</v>
      </c>
      <c r="E16" s="26" t="s">
        <v>70</v>
      </c>
      <c r="F16" s="26" t="s">
        <v>61</v>
      </c>
      <c r="G16" s="26" t="s">
        <v>47</v>
      </c>
      <c r="H16" s="26" t="s">
        <v>47</v>
      </c>
      <c r="I16" s="26" t="s">
        <v>56</v>
      </c>
      <c r="J16" s="26" t="s">
        <v>80</v>
      </c>
      <c r="K16" s="26" t="s">
        <v>40</v>
      </c>
      <c r="L16" s="26" t="s">
        <v>57</v>
      </c>
      <c r="M16" s="26" t="s">
        <v>51</v>
      </c>
      <c r="N16" s="26" t="s">
        <v>46</v>
      </c>
      <c r="O16" s="26" t="s">
        <v>70</v>
      </c>
      <c r="P16" s="26" t="s">
        <v>39</v>
      </c>
      <c r="Q16" s="26" t="s">
        <v>70</v>
      </c>
      <c r="R16" s="26" t="s">
        <v>48</v>
      </c>
      <c r="S16" s="26" t="s">
        <v>80</v>
      </c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</row>
    <row r="17" spans="1:42" x14ac:dyDescent="0.35">
      <c r="B17" s="23"/>
      <c r="C17" s="2">
        <v>10</v>
      </c>
      <c r="D17" s="26" t="s">
        <v>50</v>
      </c>
      <c r="E17" s="26" t="s">
        <v>39</v>
      </c>
      <c r="F17" s="26" t="s">
        <v>51</v>
      </c>
      <c r="G17" s="26" t="s">
        <v>38</v>
      </c>
      <c r="H17" s="26" t="s">
        <v>46</v>
      </c>
      <c r="I17" s="26" t="s">
        <v>57</v>
      </c>
      <c r="J17" s="26" t="s">
        <v>48</v>
      </c>
      <c r="K17" s="26" t="s">
        <v>39</v>
      </c>
      <c r="L17" s="26" t="s">
        <v>51</v>
      </c>
      <c r="M17" s="26" t="s">
        <v>47</v>
      </c>
      <c r="N17" s="26" t="s">
        <v>47</v>
      </c>
      <c r="O17" s="26" t="s">
        <v>46</v>
      </c>
      <c r="P17" s="26" t="s">
        <v>47</v>
      </c>
      <c r="Q17" s="26" t="s">
        <v>51</v>
      </c>
      <c r="R17" s="26" t="s">
        <v>47</v>
      </c>
      <c r="S17" s="26" t="s">
        <v>40</v>
      </c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</row>
    <row r="18" spans="1:42" x14ac:dyDescent="0.35">
      <c r="B18" s="23"/>
      <c r="C18" s="2">
        <v>11</v>
      </c>
      <c r="D18" s="26" t="s">
        <v>39</v>
      </c>
      <c r="E18" s="26" t="s">
        <v>49</v>
      </c>
      <c r="F18" s="26" t="s">
        <v>67</v>
      </c>
      <c r="G18" s="26" t="s">
        <v>64</v>
      </c>
      <c r="H18" s="26" t="s">
        <v>51</v>
      </c>
      <c r="I18" s="26" t="s">
        <v>60</v>
      </c>
      <c r="J18" s="26" t="s">
        <v>47</v>
      </c>
      <c r="K18" s="26" t="s">
        <v>47</v>
      </c>
      <c r="L18" s="26" t="s">
        <v>46</v>
      </c>
      <c r="M18" s="26" t="s">
        <v>70</v>
      </c>
      <c r="N18" s="26" t="s">
        <v>39</v>
      </c>
      <c r="O18" s="26" t="s">
        <v>57</v>
      </c>
      <c r="P18" s="26" t="s">
        <v>49</v>
      </c>
      <c r="Q18" s="26" t="s">
        <v>47</v>
      </c>
      <c r="R18" s="26" t="s">
        <v>46</v>
      </c>
      <c r="S18" s="26" t="s">
        <v>48</v>
      </c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</row>
    <row r="19" spans="1:42" x14ac:dyDescent="0.35">
      <c r="B19" s="23"/>
      <c r="C19" s="2">
        <v>12</v>
      </c>
      <c r="D19" s="26" t="s">
        <v>49</v>
      </c>
      <c r="E19" s="26" t="s">
        <v>75</v>
      </c>
      <c r="F19" s="26" t="s">
        <v>49</v>
      </c>
      <c r="G19" s="26" t="s">
        <v>49</v>
      </c>
      <c r="H19" s="26" t="s">
        <v>132</v>
      </c>
      <c r="I19" s="26" t="s">
        <v>49</v>
      </c>
      <c r="J19" s="26" t="s">
        <v>46</v>
      </c>
      <c r="K19" s="26" t="s">
        <v>49</v>
      </c>
      <c r="L19" s="26" t="s">
        <v>49</v>
      </c>
      <c r="M19" s="26" t="s">
        <v>53</v>
      </c>
      <c r="N19" s="26" t="s">
        <v>49</v>
      </c>
      <c r="O19" s="26" t="s">
        <v>53</v>
      </c>
      <c r="P19" s="26" t="s">
        <v>48</v>
      </c>
      <c r="Q19" s="26" t="s">
        <v>49</v>
      </c>
      <c r="R19" s="26" t="s">
        <v>62</v>
      </c>
      <c r="S19" s="26" t="s">
        <v>133</v>
      </c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</row>
    <row r="20" spans="1:42" x14ac:dyDescent="0.35"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8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spans="1:42" x14ac:dyDescent="0.35">
      <c r="B21" s="22" t="s">
        <v>29</v>
      </c>
      <c r="C21" s="2">
        <v>13</v>
      </c>
      <c r="D21" s="26" t="s">
        <v>51</v>
      </c>
      <c r="E21" s="26" t="s">
        <v>80</v>
      </c>
      <c r="F21" s="26" t="s">
        <v>70</v>
      </c>
      <c r="G21" s="26" t="s">
        <v>51</v>
      </c>
      <c r="H21" s="26" t="s">
        <v>67</v>
      </c>
      <c r="I21" s="26" t="s">
        <v>47</v>
      </c>
      <c r="J21" s="26"/>
      <c r="K21" s="26" t="s">
        <v>46</v>
      </c>
      <c r="L21" s="26" t="s">
        <v>70</v>
      </c>
      <c r="M21" s="26" t="s">
        <v>48</v>
      </c>
      <c r="N21" s="26" t="s">
        <v>56</v>
      </c>
      <c r="O21" s="26" t="s">
        <v>48</v>
      </c>
      <c r="P21" s="26" t="s">
        <v>51</v>
      </c>
      <c r="Q21" s="26" t="s">
        <v>39</v>
      </c>
      <c r="R21" s="26" t="s">
        <v>51</v>
      </c>
      <c r="S21" s="26" t="s">
        <v>39</v>
      </c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</row>
    <row r="22" spans="1:42" x14ac:dyDescent="0.35">
      <c r="B22" s="22"/>
      <c r="C22" s="2">
        <v>14</v>
      </c>
      <c r="D22" s="26" t="s">
        <v>56</v>
      </c>
      <c r="E22" s="26" t="s">
        <v>51</v>
      </c>
      <c r="F22" s="26" t="s">
        <v>80</v>
      </c>
      <c r="G22" s="26" t="s">
        <v>79</v>
      </c>
      <c r="H22" s="26" t="s">
        <v>61</v>
      </c>
      <c r="I22" s="26" t="s">
        <v>38</v>
      </c>
      <c r="J22" s="26"/>
      <c r="K22" s="26" t="s">
        <v>56</v>
      </c>
      <c r="L22" s="26" t="s">
        <v>39</v>
      </c>
      <c r="M22" s="26" t="s">
        <v>46</v>
      </c>
      <c r="N22" s="26" t="s">
        <v>51</v>
      </c>
      <c r="O22" s="26" t="s">
        <v>39</v>
      </c>
      <c r="P22" s="26" t="s">
        <v>80</v>
      </c>
      <c r="Q22" s="26" t="s">
        <v>48</v>
      </c>
      <c r="R22" s="26" t="s">
        <v>61</v>
      </c>
      <c r="S22" s="26" t="s">
        <v>51</v>
      </c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</row>
    <row r="23" spans="1:42" x14ac:dyDescent="0.35">
      <c r="B23" s="22"/>
      <c r="C23" s="2">
        <v>15</v>
      </c>
      <c r="D23" s="26" t="s">
        <v>90</v>
      </c>
      <c r="E23" s="26" t="s">
        <v>46</v>
      </c>
      <c r="F23" s="26" t="s">
        <v>39</v>
      </c>
      <c r="G23" s="26" t="s">
        <v>39</v>
      </c>
      <c r="H23" s="26" t="s">
        <v>70</v>
      </c>
      <c r="I23" s="26" t="s">
        <v>61</v>
      </c>
      <c r="J23" s="26"/>
      <c r="K23" s="26" t="s">
        <v>60</v>
      </c>
      <c r="L23" s="26" t="s">
        <v>48</v>
      </c>
      <c r="M23" s="26" t="s">
        <v>60</v>
      </c>
      <c r="N23" s="26" t="s">
        <v>48</v>
      </c>
      <c r="O23" s="26" t="s">
        <v>67</v>
      </c>
      <c r="P23" s="26" t="s">
        <v>61</v>
      </c>
      <c r="Q23" s="26" t="s">
        <v>56</v>
      </c>
      <c r="R23" s="26" t="s">
        <v>56</v>
      </c>
      <c r="S23" s="26" t="s">
        <v>79</v>
      </c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</row>
    <row r="24" spans="1:42" x14ac:dyDescent="0.35">
      <c r="C24" t="s">
        <v>87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</row>
    <row r="25" spans="1:42" x14ac:dyDescent="0.35">
      <c r="C25" t="s">
        <v>88</v>
      </c>
      <c r="D25">
        <f>COUNTA(_xlfn.UNIQUE(D8:D23))-1</f>
        <v>15</v>
      </c>
      <c r="E25">
        <f t="shared" ref="E25:AJ25" si="0">COUNTA(_xlfn.UNIQUE(E8:E23))-1</f>
        <v>15</v>
      </c>
      <c r="F25">
        <f t="shared" si="0"/>
        <v>15</v>
      </c>
      <c r="G25">
        <f t="shared" si="0"/>
        <v>15</v>
      </c>
      <c r="H25">
        <f t="shared" si="0"/>
        <v>15</v>
      </c>
      <c r="I25">
        <f t="shared" si="0"/>
        <v>15</v>
      </c>
      <c r="J25">
        <f t="shared" si="0"/>
        <v>12</v>
      </c>
      <c r="K25">
        <f t="shared" si="0"/>
        <v>15</v>
      </c>
      <c r="L25">
        <f t="shared" si="0"/>
        <v>15</v>
      </c>
      <c r="M25">
        <f t="shared" si="0"/>
        <v>15</v>
      </c>
      <c r="N25">
        <f t="shared" si="0"/>
        <v>15</v>
      </c>
      <c r="O25">
        <f t="shared" si="0"/>
        <v>15</v>
      </c>
      <c r="P25">
        <f t="shared" si="0"/>
        <v>15</v>
      </c>
      <c r="Q25">
        <f t="shared" si="0"/>
        <v>15</v>
      </c>
      <c r="R25">
        <f t="shared" si="0"/>
        <v>15</v>
      </c>
      <c r="S25">
        <f t="shared" si="0"/>
        <v>15</v>
      </c>
      <c r="T25">
        <f t="shared" si="0"/>
        <v>0</v>
      </c>
      <c r="U25">
        <f t="shared" si="0"/>
        <v>0</v>
      </c>
      <c r="V25">
        <f t="shared" si="0"/>
        <v>0</v>
      </c>
      <c r="W25">
        <f t="shared" si="0"/>
        <v>0</v>
      </c>
      <c r="X25">
        <f t="shared" si="0"/>
        <v>0</v>
      </c>
      <c r="Y25">
        <f t="shared" si="0"/>
        <v>0</v>
      </c>
      <c r="Z25">
        <f t="shared" si="0"/>
        <v>0</v>
      </c>
      <c r="AA25">
        <f>COUNTA(_xlfn.UNIQUE(AA8:AA23))-1</f>
        <v>0</v>
      </c>
      <c r="AB25">
        <f t="shared" si="0"/>
        <v>0</v>
      </c>
      <c r="AC25">
        <f t="shared" si="0"/>
        <v>0</v>
      </c>
      <c r="AD25">
        <f t="shared" si="0"/>
        <v>0</v>
      </c>
      <c r="AE25">
        <f t="shared" si="0"/>
        <v>0</v>
      </c>
      <c r="AF25">
        <f t="shared" si="0"/>
        <v>0</v>
      </c>
      <c r="AG25">
        <f t="shared" si="0"/>
        <v>0</v>
      </c>
      <c r="AH25">
        <f t="shared" si="0"/>
        <v>0</v>
      </c>
      <c r="AI25">
        <f t="shared" si="0"/>
        <v>0</v>
      </c>
      <c r="AJ25">
        <f t="shared" si="0"/>
        <v>0</v>
      </c>
    </row>
    <row r="26" spans="1:42" x14ac:dyDescent="0.35">
      <c r="B26" s="9" t="s">
        <v>126</v>
      </c>
      <c r="AL26" s="9" t="s">
        <v>99</v>
      </c>
      <c r="AM26" t="s">
        <v>101</v>
      </c>
      <c r="AO26" s="9" t="s">
        <v>100</v>
      </c>
      <c r="AP26" t="s">
        <v>101</v>
      </c>
    </row>
    <row r="27" spans="1:42" x14ac:dyDescent="0.35">
      <c r="A27">
        <v>1</v>
      </c>
      <c r="B27" t="s">
        <v>127</v>
      </c>
      <c r="C27" s="9" t="s">
        <v>94</v>
      </c>
      <c r="D27" cm="1">
        <f t="array" ref="D27">SUMPRODUCT(COUNTIF(D8:D19,$B$27:$B$38))</f>
        <v>0</v>
      </c>
      <c r="E27" cm="1">
        <f t="array" ref="E27">SUMPRODUCT(COUNTIF(E8:E19,$B$27:$B$38))</f>
        <v>0</v>
      </c>
      <c r="F27" cm="1">
        <f t="array" ref="F27">SUMPRODUCT(COUNTIF(F8:F19,$B$27:$B$38))</f>
        <v>0</v>
      </c>
      <c r="G27" cm="1">
        <f t="array" ref="G27">SUMPRODUCT(COUNTIF(G8:G19,$B$27:$B$38))</f>
        <v>0</v>
      </c>
      <c r="H27" cm="1">
        <f t="array" ref="H27">SUMPRODUCT(COUNTIF(H8:H19,$B$27:$B$38))</f>
        <v>0</v>
      </c>
      <c r="I27" cm="1">
        <f t="array" ref="I27">SUMPRODUCT(COUNTIF(I8:I19,$B$27:$B$38))</f>
        <v>0</v>
      </c>
      <c r="J27" cm="1">
        <f t="array" ref="J27">SUMPRODUCT(COUNTIF(J8:J19,$B$27:$B$38))</f>
        <v>0</v>
      </c>
      <c r="K27" cm="1">
        <f t="array" ref="K27">SUMPRODUCT(COUNTIF(K8:K19,$B$27:$B$38))</f>
        <v>0</v>
      </c>
      <c r="L27" cm="1">
        <f t="array" ref="L27">SUMPRODUCT(COUNTIF(L8:L19,$B$27:$B$38))</f>
        <v>0</v>
      </c>
      <c r="M27" cm="1">
        <f t="array" ref="M27">SUMPRODUCT(COUNTIF(M8:M19,$B$27:$B$38))</f>
        <v>0</v>
      </c>
      <c r="N27" cm="1">
        <f t="array" ref="N27">SUMPRODUCT(COUNTIF(N8:N19,$B$27:$B$38))</f>
        <v>0</v>
      </c>
      <c r="O27" cm="1">
        <f t="array" ref="O27">SUMPRODUCT(COUNTIF(O8:O19,$B$27:$B$38))</f>
        <v>0</v>
      </c>
      <c r="P27" cm="1">
        <f t="array" ref="P27">SUMPRODUCT(COUNTIF(P8:P19,$B$27:$B$38))</f>
        <v>0</v>
      </c>
      <c r="Q27" cm="1">
        <f t="array" ref="Q27">SUMPRODUCT(COUNTIF(Q8:Q19,$B$27:$B$38))</f>
        <v>0</v>
      </c>
      <c r="R27" cm="1">
        <f t="array" ref="R27">SUMPRODUCT(COUNTIF(R8:R19,$B$27:$B$38))</f>
        <v>0</v>
      </c>
      <c r="S27" cm="1">
        <f t="array" ref="S27">SUMPRODUCT(COUNTIF(S8:S19,$B$27:$B$38))</f>
        <v>0</v>
      </c>
      <c r="T27" cm="1">
        <f t="array" ref="T27">SUMPRODUCT(COUNTIF(T8:T19,$B$27:$B$38))</f>
        <v>0</v>
      </c>
      <c r="U27" cm="1">
        <f t="array" ref="U27">SUMPRODUCT(COUNTIF(U8:U19,$B$27:$B$38))</f>
        <v>0</v>
      </c>
      <c r="V27" cm="1">
        <f t="array" ref="V27">SUMPRODUCT(COUNTIF(V8:V19,$B$27:$B$38))</f>
        <v>0</v>
      </c>
      <c r="W27" cm="1">
        <f t="array" ref="W27">SUMPRODUCT(COUNTIF(W8:W19,$B$27:$B$38))</f>
        <v>0</v>
      </c>
      <c r="X27" cm="1">
        <f t="array" ref="X27">SUMPRODUCT(COUNTIF(X8:X19,$B$27:$B$38))</f>
        <v>0</v>
      </c>
      <c r="Y27" cm="1">
        <f t="array" ref="Y27">SUMPRODUCT(COUNTIF(Y8:Y19,$B$27:$B$38))</f>
        <v>0</v>
      </c>
      <c r="Z27" cm="1">
        <f t="array" ref="Z27">SUMPRODUCT(COUNTIF(Z8:Z19,$B$27:$B$38))</f>
        <v>0</v>
      </c>
      <c r="AA27" cm="1">
        <f t="array" ref="AA27">SUMPRODUCT(COUNTIF(AA8:AA19,$B$27:$B$38))</f>
        <v>0</v>
      </c>
      <c r="AB27" cm="1">
        <f t="array" ref="AB27">SUMPRODUCT(COUNTIF(AB8:AB19,$B$27:$B$38))</f>
        <v>0</v>
      </c>
      <c r="AC27" cm="1">
        <f t="array" ref="AC27">SUMPRODUCT(COUNTIF(AC8:AC19,$B$27:$B$38))</f>
        <v>0</v>
      </c>
      <c r="AD27" cm="1">
        <f t="array" ref="AD27">SUMPRODUCT(COUNTIF(AD8:AD19,$B$27:$B$38))</f>
        <v>0</v>
      </c>
      <c r="AE27" cm="1">
        <f t="array" ref="AE27">SUMPRODUCT(COUNTIF(AE8:AE19,$B$27:$B$38))</f>
        <v>0</v>
      </c>
      <c r="AF27" cm="1">
        <f t="array" ref="AF27">SUMPRODUCT(COUNTIF(AF8:AF19,$B$27:$B$38))</f>
        <v>0</v>
      </c>
      <c r="AG27" cm="1">
        <f t="array" ref="AG27">SUMPRODUCT(COUNTIF(AG8:AG19,$B$27:$B$38))</f>
        <v>0</v>
      </c>
      <c r="AH27" cm="1">
        <f t="array" ref="AH27">SUMPRODUCT(COUNTIF(AH8:AH19,$B$27:$B$38))</f>
        <v>0</v>
      </c>
      <c r="AI27" cm="1">
        <f t="array" ref="AI27">SUMPRODUCT(COUNTIF(AI8:AI19,$B$27:$B$38))</f>
        <v>0</v>
      </c>
      <c r="AJ27" cm="1">
        <f t="array" ref="AJ27">SUMPRODUCT(COUNTIF(AJ8:AJ19,$B$27:$B$38))</f>
        <v>0</v>
      </c>
      <c r="AL27" s="9">
        <f>MAX(D27:AJ27)</f>
        <v>0</v>
      </c>
      <c r="AM27">
        <f>COUNTIF(D27:AJ27,AL27)</f>
        <v>33</v>
      </c>
      <c r="AO27">
        <v>0</v>
      </c>
      <c r="AP27">
        <f>COUNTIF(D27:AJ27,0)</f>
        <v>33</v>
      </c>
    </row>
    <row r="28" spans="1:42" x14ac:dyDescent="0.35">
      <c r="A28">
        <v>2</v>
      </c>
      <c r="B28" t="s">
        <v>127</v>
      </c>
      <c r="C28" s="9" t="s">
        <v>95</v>
      </c>
      <c r="D28" cm="1">
        <f t="array" ref="D28">SUMPRODUCT(--(D8:D19=$B$27:$B$38))</f>
        <v>0</v>
      </c>
      <c r="E28" cm="1">
        <f t="array" ref="E28">SUMPRODUCT(--(E8:E19=$B$27:$B$38))</f>
        <v>0</v>
      </c>
      <c r="F28" cm="1">
        <f t="array" ref="F28">SUMPRODUCT(--(F8:F19=$B$27:$B$38))</f>
        <v>0</v>
      </c>
      <c r="G28" cm="1">
        <f t="array" ref="G28">SUMPRODUCT(--(G8:G19=$B$27:$B$38))</f>
        <v>0</v>
      </c>
      <c r="H28" cm="1">
        <f t="array" ref="H28">SUMPRODUCT(--(H8:H19=$B$27:$B$38))</f>
        <v>0</v>
      </c>
      <c r="I28" cm="1">
        <f t="array" ref="I28">SUMPRODUCT(--(I8:I19=$B$27:$B$38))</f>
        <v>0</v>
      </c>
      <c r="J28" cm="1">
        <f t="array" ref="J28">SUMPRODUCT(--(J8:J19=$B$27:$B$38))</f>
        <v>0</v>
      </c>
      <c r="K28" cm="1">
        <f t="array" ref="K28">SUMPRODUCT(--(K8:K19=$B$27:$B$38))</f>
        <v>0</v>
      </c>
      <c r="L28" cm="1">
        <f t="array" ref="L28">SUMPRODUCT(--(L8:L19=$B$27:$B$38))</f>
        <v>0</v>
      </c>
      <c r="M28" cm="1">
        <f t="array" ref="M28">SUMPRODUCT(--(M8:M19=$B$27:$B$38))</f>
        <v>0</v>
      </c>
      <c r="N28" cm="1">
        <f t="array" ref="N28">SUMPRODUCT(--(N8:N19=$B$27:$B$38))</f>
        <v>0</v>
      </c>
      <c r="O28" cm="1">
        <f t="array" ref="O28">SUMPRODUCT(--(O8:O19=$B$27:$B$38))</f>
        <v>0</v>
      </c>
      <c r="P28" cm="1">
        <f t="array" ref="P28">SUMPRODUCT(--(P8:P19=$B$27:$B$38))</f>
        <v>0</v>
      </c>
      <c r="Q28" cm="1">
        <f t="array" ref="Q28">SUMPRODUCT(--(Q8:Q19=$B$27:$B$38))</f>
        <v>0</v>
      </c>
      <c r="R28" cm="1">
        <f t="array" ref="R28">SUMPRODUCT(--(R8:R19=$B$27:$B$38))</f>
        <v>0</v>
      </c>
      <c r="S28" cm="1">
        <f t="array" ref="S28">SUMPRODUCT(--(S8:S19=$B$27:$B$38))</f>
        <v>0</v>
      </c>
      <c r="T28" cm="1">
        <f t="array" ref="T28">SUMPRODUCT(--(T8:T19=$B$27:$B$38))</f>
        <v>0</v>
      </c>
      <c r="U28" cm="1">
        <f t="array" ref="U28">SUMPRODUCT(--(U8:U19=$B$27:$B$38))</f>
        <v>0</v>
      </c>
      <c r="V28" cm="1">
        <f t="array" ref="V28">SUMPRODUCT(--(V8:V19=$B$27:$B$38))</f>
        <v>0</v>
      </c>
      <c r="W28" cm="1">
        <f t="array" ref="W28">SUMPRODUCT(--(W8:W19=$B$27:$B$38))</f>
        <v>0</v>
      </c>
      <c r="X28" cm="1">
        <f t="array" ref="X28">SUMPRODUCT(--(X8:X19=$B$27:$B$38))</f>
        <v>0</v>
      </c>
      <c r="Y28" cm="1">
        <f t="array" ref="Y28">SUMPRODUCT(--(Y8:Y19=$B$27:$B$38))</f>
        <v>0</v>
      </c>
      <c r="Z28" cm="1">
        <f t="array" ref="Z28">SUMPRODUCT(--(Z8:Z19=$B$27:$B$38))</f>
        <v>0</v>
      </c>
      <c r="AA28" cm="1">
        <f t="array" ref="AA28">SUMPRODUCT(--(AA8:AA19=$B$27:$B$38))</f>
        <v>0</v>
      </c>
      <c r="AB28" cm="1">
        <f t="array" ref="AB28">SUMPRODUCT(--(AB8:AB19=$B$27:$B$38))</f>
        <v>0</v>
      </c>
      <c r="AC28" cm="1">
        <f t="array" ref="AC28">SUMPRODUCT(--(AC8:AC19=$B$27:$B$38))</f>
        <v>0</v>
      </c>
      <c r="AD28" cm="1">
        <f t="array" ref="AD28">SUMPRODUCT(--(AD8:AD19=$B$27:$B$38))</f>
        <v>0</v>
      </c>
      <c r="AE28" cm="1">
        <f t="array" ref="AE28">SUMPRODUCT(--(AE8:AE19=$B$27:$B$38))</f>
        <v>0</v>
      </c>
      <c r="AF28" cm="1">
        <f t="array" ref="AF28">SUMPRODUCT(--(AF8:AF19=$B$27:$B$38))</f>
        <v>0</v>
      </c>
      <c r="AG28" cm="1">
        <f t="array" ref="AG28">SUMPRODUCT(--(AG8:AG19=$B$27:$B$38))</f>
        <v>0</v>
      </c>
      <c r="AH28" cm="1">
        <f t="array" ref="AH28">SUMPRODUCT(--(AH8:AH19=$B$27:$B$38))</f>
        <v>0</v>
      </c>
      <c r="AI28" cm="1">
        <f t="array" ref="AI28">SUMPRODUCT(--(AI8:AI19=$B$27:$B$38))</f>
        <v>0</v>
      </c>
      <c r="AJ28" cm="1">
        <f t="array" ref="AJ28">SUMPRODUCT(--(AJ8:AJ19=$B$27:$B$38))</f>
        <v>0</v>
      </c>
      <c r="AL28" s="9">
        <f>MAX(D28:AJ28)</f>
        <v>0</v>
      </c>
      <c r="AM28">
        <f>COUNTIF(D28:AJ28,AL28)</f>
        <v>33</v>
      </c>
      <c r="AO28">
        <v>0</v>
      </c>
      <c r="AP28">
        <f>COUNTIF(D28:AJ28,0)</f>
        <v>33</v>
      </c>
    </row>
    <row r="29" spans="1:42" x14ac:dyDescent="0.35">
      <c r="A29">
        <v>3</v>
      </c>
      <c r="B29" t="s">
        <v>127</v>
      </c>
      <c r="C29" s="9" t="s">
        <v>96</v>
      </c>
    </row>
    <row r="30" spans="1:42" x14ac:dyDescent="0.35">
      <c r="A30">
        <v>4</v>
      </c>
      <c r="B30" t="s">
        <v>127</v>
      </c>
      <c r="C30" s="13" t="s">
        <v>97</v>
      </c>
      <c r="D30" s="14">
        <f>D27+D28+D29</f>
        <v>0</v>
      </c>
      <c r="E30" s="14">
        <f t="shared" ref="E30:AJ30" si="1">E27+E28+E29</f>
        <v>0</v>
      </c>
      <c r="F30" s="14">
        <f t="shared" si="1"/>
        <v>0</v>
      </c>
      <c r="G30" s="14">
        <f t="shared" si="1"/>
        <v>0</v>
      </c>
      <c r="H30" s="14">
        <f t="shared" si="1"/>
        <v>0</v>
      </c>
      <c r="I30" s="14">
        <f t="shared" si="1"/>
        <v>0</v>
      </c>
      <c r="J30" s="14">
        <f t="shared" si="1"/>
        <v>0</v>
      </c>
      <c r="K30" s="14">
        <f t="shared" si="1"/>
        <v>0</v>
      </c>
      <c r="L30" s="14">
        <f t="shared" si="1"/>
        <v>0</v>
      </c>
      <c r="M30" s="14">
        <f t="shared" si="1"/>
        <v>0</v>
      </c>
      <c r="N30" s="14">
        <f t="shared" si="1"/>
        <v>0</v>
      </c>
      <c r="O30" s="14">
        <f t="shared" si="1"/>
        <v>0</v>
      </c>
      <c r="P30" s="14">
        <f t="shared" si="1"/>
        <v>0</v>
      </c>
      <c r="Q30" s="14">
        <f t="shared" si="1"/>
        <v>0</v>
      </c>
      <c r="R30" s="14">
        <f t="shared" si="1"/>
        <v>0</v>
      </c>
      <c r="S30" s="14">
        <f t="shared" si="1"/>
        <v>0</v>
      </c>
      <c r="T30" s="14">
        <f t="shared" si="1"/>
        <v>0</v>
      </c>
      <c r="U30" s="14">
        <f t="shared" si="1"/>
        <v>0</v>
      </c>
      <c r="V30" s="14">
        <f t="shared" si="1"/>
        <v>0</v>
      </c>
      <c r="W30" s="14">
        <f t="shared" si="1"/>
        <v>0</v>
      </c>
      <c r="X30" s="14">
        <f t="shared" si="1"/>
        <v>0</v>
      </c>
      <c r="Y30" s="14">
        <f t="shared" si="1"/>
        <v>0</v>
      </c>
      <c r="Z30" s="14">
        <f t="shared" si="1"/>
        <v>0</v>
      </c>
      <c r="AA30" s="14">
        <f t="shared" si="1"/>
        <v>0</v>
      </c>
      <c r="AB30" s="14">
        <f t="shared" si="1"/>
        <v>0</v>
      </c>
      <c r="AC30" s="14">
        <f t="shared" si="1"/>
        <v>0</v>
      </c>
      <c r="AD30" s="14">
        <f t="shared" si="1"/>
        <v>0</v>
      </c>
      <c r="AE30" s="14">
        <f t="shared" si="1"/>
        <v>0</v>
      </c>
      <c r="AF30" s="14">
        <f t="shared" si="1"/>
        <v>0</v>
      </c>
      <c r="AG30" s="14">
        <f t="shared" si="1"/>
        <v>0</v>
      </c>
      <c r="AH30" s="14">
        <f t="shared" si="1"/>
        <v>0</v>
      </c>
      <c r="AI30" s="14">
        <f t="shared" si="1"/>
        <v>0</v>
      </c>
      <c r="AJ30" s="14">
        <f t="shared" si="1"/>
        <v>0</v>
      </c>
    </row>
    <row r="31" spans="1:42" x14ac:dyDescent="0.35">
      <c r="A31">
        <v>5</v>
      </c>
      <c r="B31" t="s">
        <v>127</v>
      </c>
    </row>
    <row r="32" spans="1:42" x14ac:dyDescent="0.35">
      <c r="A32">
        <v>6</v>
      </c>
      <c r="B32" t="s">
        <v>127</v>
      </c>
    </row>
    <row r="33" spans="1:6" x14ac:dyDescent="0.35">
      <c r="A33">
        <v>7</v>
      </c>
      <c r="B33" t="s">
        <v>127</v>
      </c>
    </row>
    <row r="34" spans="1:6" x14ac:dyDescent="0.35">
      <c r="A34">
        <v>8</v>
      </c>
      <c r="B34" t="s">
        <v>127</v>
      </c>
    </row>
    <row r="35" spans="1:6" x14ac:dyDescent="0.35">
      <c r="A35">
        <v>9</v>
      </c>
      <c r="B35" t="s">
        <v>127</v>
      </c>
    </row>
    <row r="36" spans="1:6" x14ac:dyDescent="0.35">
      <c r="A36">
        <v>10</v>
      </c>
      <c r="B36" t="s">
        <v>127</v>
      </c>
      <c r="D36" s="15"/>
    </row>
    <row r="37" spans="1:6" x14ac:dyDescent="0.35">
      <c r="A37">
        <v>11</v>
      </c>
      <c r="B37" t="s">
        <v>127</v>
      </c>
      <c r="E37" s="3" t="s">
        <v>1</v>
      </c>
      <c r="F37" s="3" t="s">
        <v>98</v>
      </c>
    </row>
    <row r="38" spans="1:6" x14ac:dyDescent="0.35">
      <c r="A38">
        <v>12</v>
      </c>
      <c r="B38" t="s">
        <v>127</v>
      </c>
      <c r="E38" s="6" cm="1">
        <f t="array" ref="E38:E70">_xlfn.SORTBY(A41:A73,B41:B73,-1, A41:A73, 1)</f>
        <v>0</v>
      </c>
      <c r="F38" s="6">
        <f t="shared" ref="F38:F70" si="2">VLOOKUP(E38,$A$41:$B$73,2,FALSE)</f>
        <v>0</v>
      </c>
    </row>
    <row r="39" spans="1:6" x14ac:dyDescent="0.35">
      <c r="E39" s="1">
        <v>0</v>
      </c>
      <c r="F39" s="1">
        <f t="shared" si="2"/>
        <v>0</v>
      </c>
    </row>
    <row r="40" spans="1:6" x14ac:dyDescent="0.35">
      <c r="A40" t="s">
        <v>1</v>
      </c>
      <c r="B40" t="s">
        <v>98</v>
      </c>
      <c r="E40" s="1">
        <v>0</v>
      </c>
      <c r="F40" s="1">
        <f t="shared" si="2"/>
        <v>0</v>
      </c>
    </row>
    <row r="41" spans="1:6" x14ac:dyDescent="0.35">
      <c r="A41" t="str" cm="1">
        <f t="array" ref="A41:A73">TRANSPOSE(D6:AJ6)</f>
        <v>Tyler Farr</v>
      </c>
      <c r="B41" cm="1">
        <f t="array" ref="B41:B73">TRANSPOSE(D30:AJ30)</f>
        <v>0</v>
      </c>
      <c r="E41" s="1">
        <v>0</v>
      </c>
      <c r="F41" s="1">
        <f t="shared" si="2"/>
        <v>0</v>
      </c>
    </row>
    <row r="42" spans="1:6" x14ac:dyDescent="0.35">
      <c r="A42" t="str">
        <v>Rob Farr</v>
      </c>
      <c r="B42">
        <v>0</v>
      </c>
      <c r="E42" s="1">
        <v>0</v>
      </c>
      <c r="F42" s="1">
        <f t="shared" si="2"/>
        <v>0</v>
      </c>
    </row>
    <row r="43" spans="1:6" x14ac:dyDescent="0.35">
      <c r="A43" t="str">
        <v>Bridget Farr</v>
      </c>
      <c r="B43">
        <v>0</v>
      </c>
      <c r="E43" s="1">
        <v>0</v>
      </c>
      <c r="F43" s="1">
        <f t="shared" si="2"/>
        <v>0</v>
      </c>
    </row>
    <row r="44" spans="1:6" x14ac:dyDescent="0.35">
      <c r="A44" t="str">
        <v>Braden Stesiak</v>
      </c>
      <c r="B44">
        <v>0</v>
      </c>
      <c r="E44" s="1">
        <v>0</v>
      </c>
      <c r="F44" s="1">
        <f t="shared" si="2"/>
        <v>0</v>
      </c>
    </row>
    <row r="45" spans="1:6" x14ac:dyDescent="0.35">
      <c r="A45" t="str">
        <v>Matt Little</v>
      </c>
      <c r="B45">
        <v>0</v>
      </c>
      <c r="E45" s="1">
        <v>0</v>
      </c>
      <c r="F45" s="1">
        <f t="shared" si="2"/>
        <v>0</v>
      </c>
    </row>
    <row r="46" spans="1:6" x14ac:dyDescent="0.35">
      <c r="A46" t="str">
        <v>Danny Ta</v>
      </c>
      <c r="B46">
        <v>0</v>
      </c>
      <c r="E46" s="1">
        <v>0</v>
      </c>
      <c r="F46" s="1">
        <f t="shared" si="2"/>
        <v>0</v>
      </c>
    </row>
    <row r="47" spans="1:6" x14ac:dyDescent="0.35">
      <c r="A47" t="str">
        <v>Myles Epstein</v>
      </c>
      <c r="B47">
        <v>0</v>
      </c>
      <c r="E47" s="1">
        <v>0</v>
      </c>
      <c r="F47" s="1">
        <f t="shared" si="2"/>
        <v>0</v>
      </c>
    </row>
    <row r="48" spans="1:6" x14ac:dyDescent="0.35">
      <c r="A48" t="str">
        <v>Isaac Freeman</v>
      </c>
      <c r="B48">
        <v>0</v>
      </c>
      <c r="E48" s="1">
        <v>0</v>
      </c>
      <c r="F48" s="1">
        <f t="shared" si="2"/>
        <v>0</v>
      </c>
    </row>
    <row r="49" spans="1:6" x14ac:dyDescent="0.35">
      <c r="A49" t="str">
        <v>Garrett Ley</v>
      </c>
      <c r="B49">
        <v>0</v>
      </c>
      <c r="E49" s="1">
        <v>0</v>
      </c>
      <c r="F49" s="1">
        <f t="shared" si="2"/>
        <v>0</v>
      </c>
    </row>
    <row r="50" spans="1:6" x14ac:dyDescent="0.35">
      <c r="A50" t="str">
        <v>Drew Ronk</v>
      </c>
      <c r="B50">
        <v>0</v>
      </c>
      <c r="E50" s="1">
        <v>0</v>
      </c>
      <c r="F50" s="1">
        <f t="shared" si="2"/>
        <v>0</v>
      </c>
    </row>
    <row r="51" spans="1:6" x14ac:dyDescent="0.35">
      <c r="A51" t="str">
        <v>Grayson Cantor</v>
      </c>
      <c r="B51">
        <v>0</v>
      </c>
      <c r="E51" s="1">
        <v>0</v>
      </c>
      <c r="F51" s="1">
        <f t="shared" si="2"/>
        <v>0</v>
      </c>
    </row>
    <row r="52" spans="1:6" x14ac:dyDescent="0.35">
      <c r="A52" t="str">
        <v>Andy Chapman</v>
      </c>
      <c r="B52">
        <v>0</v>
      </c>
      <c r="E52" s="1">
        <v>0</v>
      </c>
      <c r="F52" s="1">
        <f t="shared" si="2"/>
        <v>0</v>
      </c>
    </row>
    <row r="53" spans="1:6" x14ac:dyDescent="0.35">
      <c r="A53" t="str">
        <v>Justin Kauffman</v>
      </c>
      <c r="B53">
        <v>0</v>
      </c>
      <c r="E53" s="1">
        <v>0</v>
      </c>
      <c r="F53" s="1">
        <f t="shared" si="2"/>
        <v>0</v>
      </c>
    </row>
    <row r="54" spans="1:6" x14ac:dyDescent="0.35">
      <c r="A54" t="str">
        <v>Conor Miller</v>
      </c>
      <c r="B54">
        <v>0</v>
      </c>
      <c r="E54" s="1">
        <v>0</v>
      </c>
      <c r="F54" s="1">
        <f t="shared" si="2"/>
        <v>0</v>
      </c>
    </row>
    <row r="55" spans="1:6" x14ac:dyDescent="0.35">
      <c r="A55" t="str">
        <v>Abrar Jalal</v>
      </c>
      <c r="B55">
        <v>0</v>
      </c>
      <c r="E55" s="1" t="str">
        <v>Abrar Jalal</v>
      </c>
      <c r="F55" s="1">
        <f t="shared" si="2"/>
        <v>0</v>
      </c>
    </row>
    <row r="56" spans="1:6" x14ac:dyDescent="0.35">
      <c r="A56" t="str">
        <v>Nick Wieber</v>
      </c>
      <c r="B56">
        <v>0</v>
      </c>
      <c r="E56" s="1" t="str">
        <v>Andy Chapman</v>
      </c>
      <c r="F56" s="1">
        <f t="shared" si="2"/>
        <v>0</v>
      </c>
    </row>
    <row r="57" spans="1:6" x14ac:dyDescent="0.35">
      <c r="A57">
        <v>0</v>
      </c>
      <c r="B57">
        <v>0</v>
      </c>
      <c r="E57" s="1" t="str">
        <v>Braden Stesiak</v>
      </c>
      <c r="F57" s="1">
        <f t="shared" si="2"/>
        <v>0</v>
      </c>
    </row>
    <row r="58" spans="1:6" x14ac:dyDescent="0.35">
      <c r="A58">
        <v>0</v>
      </c>
      <c r="B58">
        <v>0</v>
      </c>
      <c r="E58" s="1" t="str">
        <v>Bridget Farr</v>
      </c>
      <c r="F58" s="1">
        <f t="shared" si="2"/>
        <v>0</v>
      </c>
    </row>
    <row r="59" spans="1:6" x14ac:dyDescent="0.35">
      <c r="A59">
        <v>0</v>
      </c>
      <c r="B59">
        <v>0</v>
      </c>
      <c r="E59" s="1" t="str">
        <v>Conor Miller</v>
      </c>
      <c r="F59" s="1">
        <f t="shared" si="2"/>
        <v>0</v>
      </c>
    </row>
    <row r="60" spans="1:6" x14ac:dyDescent="0.35">
      <c r="A60">
        <v>0</v>
      </c>
      <c r="B60">
        <v>0</v>
      </c>
      <c r="E60" s="1" t="str">
        <v>Danny Ta</v>
      </c>
      <c r="F60" s="1">
        <f t="shared" si="2"/>
        <v>0</v>
      </c>
    </row>
    <row r="61" spans="1:6" x14ac:dyDescent="0.35">
      <c r="A61">
        <v>0</v>
      </c>
      <c r="B61">
        <v>0</v>
      </c>
      <c r="E61" s="1" t="str">
        <v>Drew Ronk</v>
      </c>
      <c r="F61" s="1">
        <f t="shared" si="2"/>
        <v>0</v>
      </c>
    </row>
    <row r="62" spans="1:6" x14ac:dyDescent="0.35">
      <c r="A62">
        <v>0</v>
      </c>
      <c r="B62">
        <v>0</v>
      </c>
      <c r="E62" s="1" t="str">
        <v>Garrett Ley</v>
      </c>
      <c r="F62" s="1">
        <f t="shared" si="2"/>
        <v>0</v>
      </c>
    </row>
    <row r="63" spans="1:6" x14ac:dyDescent="0.35">
      <c r="A63">
        <v>0</v>
      </c>
      <c r="B63">
        <v>0</v>
      </c>
      <c r="E63" s="1" t="str">
        <v>Grayson Cantor</v>
      </c>
      <c r="F63" s="1">
        <f t="shared" si="2"/>
        <v>0</v>
      </c>
    </row>
    <row r="64" spans="1:6" x14ac:dyDescent="0.35">
      <c r="A64">
        <v>0</v>
      </c>
      <c r="B64">
        <v>0</v>
      </c>
      <c r="E64" s="1" t="str">
        <v>Isaac Freeman</v>
      </c>
      <c r="F64" s="1">
        <f t="shared" si="2"/>
        <v>0</v>
      </c>
    </row>
    <row r="65" spans="1:6" x14ac:dyDescent="0.35">
      <c r="A65">
        <v>0</v>
      </c>
      <c r="B65">
        <v>0</v>
      </c>
      <c r="E65" s="1" t="str">
        <v>Justin Kauffman</v>
      </c>
      <c r="F65" s="1">
        <f t="shared" si="2"/>
        <v>0</v>
      </c>
    </row>
    <row r="66" spans="1:6" x14ac:dyDescent="0.35">
      <c r="A66">
        <v>0</v>
      </c>
      <c r="B66">
        <v>0</v>
      </c>
      <c r="E66" s="1" t="str">
        <v>Matt Little</v>
      </c>
      <c r="F66" s="1">
        <f t="shared" si="2"/>
        <v>0</v>
      </c>
    </row>
    <row r="67" spans="1:6" x14ac:dyDescent="0.35">
      <c r="A67">
        <v>0</v>
      </c>
      <c r="B67">
        <v>0</v>
      </c>
      <c r="E67" s="1" t="str">
        <v>Myles Epstein</v>
      </c>
      <c r="F67" s="1">
        <f t="shared" si="2"/>
        <v>0</v>
      </c>
    </row>
    <row r="68" spans="1:6" x14ac:dyDescent="0.35">
      <c r="A68">
        <v>0</v>
      </c>
      <c r="B68">
        <v>0</v>
      </c>
      <c r="E68" s="1" t="str">
        <v>Nick Wieber</v>
      </c>
      <c r="F68" s="1">
        <f t="shared" si="2"/>
        <v>0</v>
      </c>
    </row>
    <row r="69" spans="1:6" x14ac:dyDescent="0.35">
      <c r="A69">
        <v>0</v>
      </c>
      <c r="B69">
        <v>0</v>
      </c>
      <c r="E69" s="1" t="str">
        <v>Rob Farr</v>
      </c>
      <c r="F69" s="1">
        <f t="shared" si="2"/>
        <v>0</v>
      </c>
    </row>
    <row r="70" spans="1:6" x14ac:dyDescent="0.35">
      <c r="A70">
        <v>0</v>
      </c>
      <c r="B70">
        <v>0</v>
      </c>
      <c r="E70" s="1" t="str">
        <v>Tyler Farr</v>
      </c>
      <c r="F70" s="1">
        <f t="shared" si="2"/>
        <v>0</v>
      </c>
    </row>
    <row r="71" spans="1:6" x14ac:dyDescent="0.35">
      <c r="A71">
        <v>0</v>
      </c>
      <c r="B71">
        <v>0</v>
      </c>
    </row>
    <row r="72" spans="1:6" x14ac:dyDescent="0.35">
      <c r="A72">
        <v>0</v>
      </c>
      <c r="B72">
        <v>0</v>
      </c>
    </row>
    <row r="73" spans="1:6" x14ac:dyDescent="0.35">
      <c r="A73">
        <v>0</v>
      </c>
      <c r="B73">
        <v>0</v>
      </c>
    </row>
  </sheetData>
  <mergeCells count="2">
    <mergeCell ref="B8:B19"/>
    <mergeCell ref="B21:B2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CFB Pool '25</vt:lpstr>
      <vt:lpstr>Most Popular Picks</vt:lpstr>
      <vt:lpstr>CFB Pool '26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Farr</dc:creator>
  <cp:lastModifiedBy>Tyler Farr</cp:lastModifiedBy>
  <cp:lastPrinted>2025-10-15T23:34:31Z</cp:lastPrinted>
  <dcterms:created xsi:type="dcterms:W3CDTF">2025-08-22T03:22:32Z</dcterms:created>
  <dcterms:modified xsi:type="dcterms:W3CDTF">2026-09-09T00:32:14Z</dcterms:modified>
</cp:coreProperties>
</file>